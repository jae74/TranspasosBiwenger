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\Downloads\"/>
    </mc:Choice>
  </mc:AlternateContent>
  <xr:revisionPtr revIDLastSave="0" documentId="13_ncr:1_{06A3802C-3F3B-4E9B-A3B7-AFE93C6C4839}" xr6:coauthVersionLast="47" xr6:coauthVersionMax="47" xr10:uidLastSave="{00000000-0000-0000-0000-000000000000}"/>
  <bookViews>
    <workbookView xWindow="-110" yWindow="-110" windowWidth="19420" windowHeight="12220" xr2:uid="{0C7309F1-0998-494B-91EF-C138419F6D66}"/>
  </bookViews>
  <sheets>
    <sheet name="2a" sheetId="6" r:id="rId1"/>
    <sheet name="4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N1" i="3"/>
  <c r="O1" i="3" s="1"/>
  <c r="O3" i="3"/>
  <c r="N2" i="3"/>
  <c r="Q1" i="3"/>
  <c r="O2" i="3" l="1"/>
</calcChain>
</file>

<file path=xl/sharedStrings.xml><?xml version="1.0" encoding="utf-8"?>
<sst xmlns="http://schemas.openxmlformats.org/spreadsheetml/2006/main" count="155" uniqueCount="86">
  <si>
    <t>Pontevedra CF</t>
  </si>
  <si>
    <t>No convocado</t>
  </si>
  <si>
    <t>Dépor Fabril  (14.)</t>
  </si>
  <si>
    <t>EI</t>
  </si>
  <si>
    <t>74'</t>
  </si>
  <si>
    <t>UP Langreo  (5.)</t>
  </si>
  <si>
    <t>ED</t>
  </si>
  <si>
    <t>88'</t>
  </si>
  <si>
    <t>Marino Luanco  (5.)</t>
  </si>
  <si>
    <t>UM Escobedo  (13.)</t>
  </si>
  <si>
    <t>Rayo Cantabria  (5.)</t>
  </si>
  <si>
    <t>CD Guijuelo  (14.)</t>
  </si>
  <si>
    <t>85'</t>
  </si>
  <si>
    <t>Real Avilés  (2.)</t>
  </si>
  <si>
    <t>77'</t>
  </si>
  <si>
    <t>Coruxo FC  (12.)</t>
  </si>
  <si>
    <t>89'</t>
  </si>
  <si>
    <t>Bergantiños FC  (4.)</t>
  </si>
  <si>
    <t>83'</t>
  </si>
  <si>
    <t>UD Llanera  (15.)</t>
  </si>
  <si>
    <t>LI</t>
  </si>
  <si>
    <t>Salamanca CF   (3.)</t>
  </si>
  <si>
    <t>Laredo  (18.)</t>
  </si>
  <si>
    <t>Gimnástica  (17.)</t>
  </si>
  <si>
    <t>Real Ávila  (3.)</t>
  </si>
  <si>
    <t>CD Numancia  (2.)</t>
  </si>
  <si>
    <t>SD Compostela  (12.)</t>
  </si>
  <si>
    <t>Pontevedra CF  (1.)</t>
  </si>
  <si>
    <t>Dépor Fabril  (8.)</t>
  </si>
  <si>
    <t>UP Langreo  (9.)</t>
  </si>
  <si>
    <t>81'</t>
  </si>
  <si>
    <t>Marino Luanco  (9.)</t>
  </si>
  <si>
    <t>60'</t>
  </si>
  <si>
    <t>UM Escobedo  (11.)</t>
  </si>
  <si>
    <t>87'</t>
  </si>
  <si>
    <t>Rayo Cantabria  (13.)</t>
  </si>
  <si>
    <t>CD Guijuelo  (15.)</t>
  </si>
  <si>
    <t>ID</t>
  </si>
  <si>
    <t>Real Avilés  (5.)</t>
  </si>
  <si>
    <t>EI </t>
  </si>
  <si>
    <t>Bergantiños FC  (10.)</t>
  </si>
  <si>
    <t>UD Llanera  (13.)</t>
  </si>
  <si>
    <t>72'</t>
  </si>
  <si>
    <t>Salamanca CF   (8.)</t>
  </si>
  <si>
    <t>Real Ávila  (4.)</t>
  </si>
  <si>
    <t>SD Compostela  (14.)</t>
  </si>
  <si>
    <t>Local</t>
  </si>
  <si>
    <t>Visitante</t>
  </si>
  <si>
    <t>Resultado</t>
  </si>
  <si>
    <t>Pos.</t>
  </si>
  <si>
    <t>Real Valladolid Promesas</t>
  </si>
  <si>
    <t>Jor</t>
  </si>
  <si>
    <t>Gol</t>
  </si>
  <si>
    <t>Asist</t>
  </si>
  <si>
    <t>Goles totales</t>
  </si>
  <si>
    <t>Contribuciones T</t>
  </si>
  <si>
    <t>Minutos totales</t>
  </si>
  <si>
    <t>Goles equipo</t>
  </si>
  <si>
    <t>Min posibles</t>
  </si>
  <si>
    <t>Entrada</t>
  </si>
  <si>
    <t>Minutos</t>
  </si>
  <si>
    <t>Tiros totales</t>
  </si>
  <si>
    <t>Goles dentro del área</t>
  </si>
  <si>
    <t>0.5</t>
  </si>
  <si>
    <t>0/1</t>
  </si>
  <si>
    <t>Acert. en campo propio</t>
  </si>
  <si>
    <t>Pases precisos</t>
  </si>
  <si>
    <t>Toques</t>
  </si>
  <si>
    <t>Acert. en campo contrario</t>
  </si>
  <si>
    <t>Media</t>
  </si>
  <si>
    <t>Total</t>
  </si>
  <si>
    <t>Minutos:</t>
  </si>
  <si>
    <t>Duelos ganados</t>
  </si>
  <si>
    <t>1aereo</t>
  </si>
  <si>
    <t>1suelo</t>
  </si>
  <si>
    <t>Posesiones perdidas</t>
  </si>
  <si>
    <t>Tiros a puerta</t>
  </si>
  <si>
    <t>Balones recuperados</t>
  </si>
  <si>
    <t>25/26</t>
  </si>
  <si>
    <t>24/25</t>
  </si>
  <si>
    <t>Sofascore</t>
  </si>
  <si>
    <t>6.6</t>
  </si>
  <si>
    <t>Biwenger</t>
  </si>
  <si>
    <t>6.3</t>
  </si>
  <si>
    <t>Ceuta</t>
  </si>
  <si>
    <t>Castellon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</si>
</sst>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6" borderId="0" xfId="0" applyFill="1"/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0" fillId="0" borderId="0" xfId="0" applyNumberFormat="1" applyAlignment="1">
      <alignment horizontal="left"/>
    </xf>
    <xf numFmtId="12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5E62-B60A-41BD-9567-1B50C888D89C}">
  <dimension ref="A1:E16"/>
  <sheetViews>
    <sheetView tabSelected="1" workbookViewId="0">
      <selection activeCell="F15" sqref="F15"/>
    </sheetView>
  </sheetViews>
  <sheetFormatPr baseColWidth="10" defaultRowHeight="14"/>
  <cols>
    <col min="2" max="2" width="20.58203125" bestFit="1" customWidth="1"/>
    <col min="3" max="3" width="7.5" style="3" customWidth="1"/>
    <col min="4" max="4" width="11.33203125" style="3" customWidth="1"/>
  </cols>
  <sheetData>
    <row r="1" spans="1:5">
      <c r="A1" t="s">
        <v>78</v>
      </c>
      <c r="C1" s="3" t="s">
        <v>69</v>
      </c>
      <c r="D1" s="3" t="s">
        <v>70</v>
      </c>
    </row>
    <row r="2" spans="1:5">
      <c r="B2" t="s">
        <v>61</v>
      </c>
      <c r="D2" s="3">
        <v>1</v>
      </c>
    </row>
    <row r="3" spans="1:5">
      <c r="B3" t="s">
        <v>76</v>
      </c>
      <c r="D3" s="3">
        <v>0</v>
      </c>
    </row>
    <row r="4" spans="1:5">
      <c r="B4" t="s">
        <v>62</v>
      </c>
      <c r="D4" s="3" t="s">
        <v>64</v>
      </c>
    </row>
    <row r="5" spans="1:5">
      <c r="B5" t="s">
        <v>67</v>
      </c>
      <c r="C5" s="3">
        <v>6</v>
      </c>
      <c r="D5" s="3">
        <v>12</v>
      </c>
    </row>
    <row r="6" spans="1:5">
      <c r="B6" t="s">
        <v>66</v>
      </c>
      <c r="C6" s="3" t="s">
        <v>63</v>
      </c>
      <c r="D6" s="17">
        <v>0.33333333333333331</v>
      </c>
      <c r="E6" s="16">
        <v>0.33</v>
      </c>
    </row>
    <row r="7" spans="1:5">
      <c r="B7" t="s">
        <v>65</v>
      </c>
      <c r="D7" s="17">
        <v>0.5</v>
      </c>
      <c r="E7" s="16">
        <v>0.5</v>
      </c>
    </row>
    <row r="8" spans="1:5">
      <c r="B8" t="s">
        <v>68</v>
      </c>
      <c r="D8" s="3" t="s">
        <v>64</v>
      </c>
    </row>
    <row r="9" spans="1:5">
      <c r="B9" t="s">
        <v>77</v>
      </c>
      <c r="D9" s="3">
        <v>2</v>
      </c>
    </row>
    <row r="10" spans="1:5">
      <c r="B10" t="s">
        <v>75</v>
      </c>
      <c r="D10" s="3">
        <v>8</v>
      </c>
    </row>
    <row r="11" spans="1:5">
      <c r="B11" t="s">
        <v>72</v>
      </c>
      <c r="C11" s="3" t="s">
        <v>73</v>
      </c>
      <c r="D11" s="3" t="s">
        <v>74</v>
      </c>
    </row>
    <row r="13" spans="1:5">
      <c r="C13" s="3" t="s">
        <v>84</v>
      </c>
      <c r="D13" s="3" t="s">
        <v>85</v>
      </c>
    </row>
    <row r="14" spans="1:5">
      <c r="B14" t="s">
        <v>71</v>
      </c>
      <c r="C14" s="3">
        <v>9</v>
      </c>
      <c r="D14" s="3">
        <v>18</v>
      </c>
    </row>
    <row r="15" spans="1:5">
      <c r="B15" t="s">
        <v>80</v>
      </c>
      <c r="C15" s="3" t="s">
        <v>81</v>
      </c>
      <c r="D15" s="3" t="s">
        <v>83</v>
      </c>
    </row>
    <row r="16" spans="1:5">
      <c r="B16" t="s">
        <v>82</v>
      </c>
      <c r="C16" s="3">
        <v>3</v>
      </c>
      <c r="D16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E52-8427-4A88-92AA-FD843C2B53ED}">
  <dimension ref="A1:Q44"/>
  <sheetViews>
    <sheetView zoomScale="70" zoomScaleNormal="70" workbookViewId="0">
      <selection activeCell="A2" sqref="A2"/>
    </sheetView>
  </sheetViews>
  <sheetFormatPr baseColWidth="10" defaultRowHeight="14"/>
  <cols>
    <col min="2" max="2" width="5.6640625" style="10" customWidth="1"/>
    <col min="3" max="3" width="19.75" style="2" bestFit="1" customWidth="1"/>
    <col min="4" max="4" width="4.4140625" style="2" customWidth="1"/>
    <col min="5" max="5" width="4.58203125" style="14" customWidth="1"/>
    <col min="6" max="6" width="19.75" style="3" bestFit="1" customWidth="1"/>
    <col min="8" max="8" width="3.33203125" style="1" bestFit="1" customWidth="1"/>
    <col min="9" max="9" width="4.4140625" style="1" bestFit="1" customWidth="1"/>
    <col min="10" max="10" width="6.5" bestFit="1" customWidth="1"/>
    <col min="11" max="11" width="6.75" bestFit="1" customWidth="1"/>
    <col min="12" max="12" width="3.6640625" customWidth="1"/>
    <col min="13" max="13" width="13.4140625" bestFit="1" customWidth="1"/>
    <col min="14" max="14" width="4.4140625" bestFit="1" customWidth="1"/>
    <col min="15" max="15" width="8.75" customWidth="1"/>
  </cols>
  <sheetData>
    <row r="1" spans="1:17">
      <c r="A1" t="s">
        <v>79</v>
      </c>
      <c r="B1" s="10" t="s">
        <v>51</v>
      </c>
      <c r="C1" s="1" t="s">
        <v>46</v>
      </c>
      <c r="D1" s="18" t="s">
        <v>48</v>
      </c>
      <c r="E1" s="18"/>
      <c r="F1" s="1" t="s">
        <v>47</v>
      </c>
      <c r="G1" t="s">
        <v>49</v>
      </c>
      <c r="H1" s="1" t="s">
        <v>52</v>
      </c>
      <c r="I1" s="1" t="s">
        <v>53</v>
      </c>
      <c r="J1" s="1" t="s">
        <v>59</v>
      </c>
      <c r="K1" s="1" t="s">
        <v>60</v>
      </c>
      <c r="M1" t="s">
        <v>56</v>
      </c>
      <c r="N1" s="3">
        <f>SUM(K4:K36)</f>
        <v>2835</v>
      </c>
      <c r="O1" s="15">
        <f>N1/Q2</f>
        <v>0.92647058823529416</v>
      </c>
      <c r="P1" s="3" t="s">
        <v>57</v>
      </c>
      <c r="Q1" s="13">
        <f>SUM(E3,D4,E5,D6,E7,D8,E9,D10,E11,D12,E13,D14,E15,D16,E17,E18,D19,D20,E21,D22,E23,D24,E25,D26,E27,D28,E29,D30,E31,D32,E33,D34,D35,E36)</f>
        <v>42.004722222222249</v>
      </c>
    </row>
    <row r="2" spans="1:17">
      <c r="E2" s="13"/>
      <c r="M2" t="s">
        <v>54</v>
      </c>
      <c r="N2" s="3">
        <f>SUM(H5,H10,H12,H26,H28,H29,H31)</f>
        <v>8</v>
      </c>
      <c r="O2" s="15">
        <f>N2/Q1</f>
        <v>0.1904547769100034</v>
      </c>
      <c r="P2" s="3" t="s">
        <v>58</v>
      </c>
      <c r="Q2" s="3">
        <f>90*34</f>
        <v>3060</v>
      </c>
    </row>
    <row r="3" spans="1:17">
      <c r="B3" s="10">
        <v>1</v>
      </c>
      <c r="C3" s="2" t="s">
        <v>0</v>
      </c>
      <c r="D3" s="2">
        <v>1</v>
      </c>
      <c r="E3" s="13">
        <v>2.7777777777777778E-4</v>
      </c>
      <c r="F3" s="5" t="s">
        <v>50</v>
      </c>
      <c r="G3" t="s">
        <v>1</v>
      </c>
      <c r="M3" t="s">
        <v>55</v>
      </c>
      <c r="N3" s="3">
        <v>15</v>
      </c>
      <c r="O3" s="15">
        <f>15/42</f>
        <v>0.35714285714285715</v>
      </c>
    </row>
    <row r="4" spans="1:17">
      <c r="B4" s="10">
        <v>2</v>
      </c>
      <c r="C4" s="4" t="s">
        <v>50</v>
      </c>
      <c r="D4" s="2">
        <v>1</v>
      </c>
      <c r="E4" s="13">
        <v>2.0002777777777809</v>
      </c>
      <c r="F4" s="3" t="s">
        <v>2</v>
      </c>
      <c r="G4" s="12" t="s">
        <v>3</v>
      </c>
      <c r="J4" t="s">
        <v>4</v>
      </c>
      <c r="K4">
        <v>74</v>
      </c>
      <c r="N4" s="3"/>
    </row>
    <row r="5" spans="1:17">
      <c r="B5" s="10">
        <v>3</v>
      </c>
      <c r="C5" s="2" t="s">
        <v>5</v>
      </c>
      <c r="D5" s="2">
        <v>1</v>
      </c>
      <c r="E5" s="13">
        <v>1.0002777777777843</v>
      </c>
      <c r="F5" s="9" t="s">
        <v>50</v>
      </c>
      <c r="G5" s="12" t="s">
        <v>6</v>
      </c>
      <c r="H5" s="1">
        <v>1</v>
      </c>
      <c r="J5" t="s">
        <v>7</v>
      </c>
      <c r="K5">
        <v>88</v>
      </c>
    </row>
    <row r="6" spans="1:17">
      <c r="B6" s="10">
        <v>4</v>
      </c>
      <c r="C6" s="8" t="s">
        <v>50</v>
      </c>
      <c r="D6" s="2">
        <v>1</v>
      </c>
      <c r="E6" s="13">
        <v>1.0002777777777843</v>
      </c>
      <c r="F6" s="3" t="s">
        <v>8</v>
      </c>
      <c r="G6" s="12" t="s">
        <v>6</v>
      </c>
      <c r="I6" s="1">
        <v>1</v>
      </c>
      <c r="K6">
        <v>90</v>
      </c>
    </row>
    <row r="7" spans="1:17">
      <c r="B7" s="10">
        <v>5</v>
      </c>
      <c r="C7" s="2" t="s">
        <v>9</v>
      </c>
      <c r="D7" s="2">
        <v>1</v>
      </c>
      <c r="E7" s="13">
        <v>4.0002777777777832</v>
      </c>
      <c r="F7" s="7" t="s">
        <v>50</v>
      </c>
      <c r="G7" s="12" t="s">
        <v>3</v>
      </c>
      <c r="I7" s="1">
        <v>3</v>
      </c>
      <c r="J7" t="s">
        <v>7</v>
      </c>
      <c r="K7">
        <v>88</v>
      </c>
    </row>
    <row r="8" spans="1:17">
      <c r="B8" s="10">
        <v>6</v>
      </c>
      <c r="C8" s="8" t="s">
        <v>50</v>
      </c>
      <c r="D8" s="2">
        <v>1</v>
      </c>
      <c r="E8" s="13">
        <v>1.0002777777777843</v>
      </c>
      <c r="F8" s="3" t="s">
        <v>10</v>
      </c>
      <c r="G8" s="12" t="s">
        <v>3</v>
      </c>
      <c r="J8" t="s">
        <v>4</v>
      </c>
      <c r="K8">
        <v>74</v>
      </c>
    </row>
    <row r="9" spans="1:17">
      <c r="B9" s="10">
        <v>7</v>
      </c>
      <c r="C9" s="2" t="s">
        <v>11</v>
      </c>
      <c r="D9" s="2">
        <v>1</v>
      </c>
      <c r="E9" s="13">
        <v>2.0002777777777809</v>
      </c>
      <c r="F9" s="7" t="s">
        <v>50</v>
      </c>
      <c r="G9" s="12" t="s">
        <v>3</v>
      </c>
      <c r="J9" t="s">
        <v>12</v>
      </c>
      <c r="K9">
        <v>85</v>
      </c>
    </row>
    <row r="10" spans="1:17">
      <c r="B10" s="10">
        <v>8</v>
      </c>
      <c r="C10" s="6" t="s">
        <v>50</v>
      </c>
      <c r="D10" s="2">
        <v>4</v>
      </c>
      <c r="E10" s="13">
        <v>2.7777777777777778E-4</v>
      </c>
      <c r="F10" s="3" t="s">
        <v>13</v>
      </c>
      <c r="G10" s="12" t="s">
        <v>6</v>
      </c>
      <c r="H10" s="1">
        <v>2</v>
      </c>
      <c r="J10" t="s">
        <v>14</v>
      </c>
      <c r="K10">
        <v>77</v>
      </c>
    </row>
    <row r="11" spans="1:17">
      <c r="B11" s="10">
        <v>9</v>
      </c>
      <c r="C11" s="2" t="s">
        <v>15</v>
      </c>
      <c r="D11" s="2">
        <v>0</v>
      </c>
      <c r="E11" s="13">
        <v>2.7777777777777778E-4</v>
      </c>
      <c r="F11" s="9" t="s">
        <v>50</v>
      </c>
      <c r="G11" s="12" t="s">
        <v>3</v>
      </c>
      <c r="J11" t="s">
        <v>16</v>
      </c>
      <c r="K11">
        <v>89</v>
      </c>
    </row>
    <row r="12" spans="1:17">
      <c r="B12" s="10">
        <v>10</v>
      </c>
      <c r="C12" s="6" t="s">
        <v>50</v>
      </c>
      <c r="D12" s="2">
        <v>1</v>
      </c>
      <c r="E12" s="13">
        <v>2.7777777777777778E-4</v>
      </c>
      <c r="F12" s="3" t="s">
        <v>17</v>
      </c>
      <c r="G12" s="12" t="s">
        <v>6</v>
      </c>
      <c r="H12" s="1">
        <v>1</v>
      </c>
      <c r="J12" t="s">
        <v>18</v>
      </c>
      <c r="K12">
        <v>83</v>
      </c>
    </row>
    <row r="13" spans="1:17">
      <c r="B13" s="10">
        <v>11</v>
      </c>
      <c r="C13" s="2" t="s">
        <v>19</v>
      </c>
      <c r="D13" s="2">
        <v>1</v>
      </c>
      <c r="E13" s="13">
        <v>2.7777777777777778E-4</v>
      </c>
      <c r="F13" s="5" t="s">
        <v>50</v>
      </c>
      <c r="G13" s="11" t="s">
        <v>20</v>
      </c>
      <c r="K13">
        <v>90</v>
      </c>
    </row>
    <row r="14" spans="1:17">
      <c r="B14" s="10">
        <v>12</v>
      </c>
      <c r="C14" s="4" t="s">
        <v>50</v>
      </c>
      <c r="D14" s="2">
        <v>0</v>
      </c>
      <c r="E14" s="13">
        <v>1.0002777777777778</v>
      </c>
      <c r="F14" s="3" t="s">
        <v>21</v>
      </c>
      <c r="G14" s="12" t="s">
        <v>3</v>
      </c>
      <c r="K14">
        <v>90</v>
      </c>
    </row>
    <row r="15" spans="1:17">
      <c r="B15" s="10">
        <v>13</v>
      </c>
      <c r="C15" s="2" t="s">
        <v>22</v>
      </c>
      <c r="D15" s="2">
        <v>0</v>
      </c>
      <c r="E15" s="13">
        <v>1.0002777777777778</v>
      </c>
      <c r="F15" s="7" t="s">
        <v>50</v>
      </c>
      <c r="G15" s="12" t="s">
        <v>3</v>
      </c>
      <c r="K15">
        <v>90</v>
      </c>
    </row>
    <row r="16" spans="1:17">
      <c r="B16" s="10">
        <v>14</v>
      </c>
      <c r="C16" s="8" t="s">
        <v>50</v>
      </c>
      <c r="D16" s="2">
        <v>3</v>
      </c>
      <c r="E16" s="13">
        <v>3.0002777777777672</v>
      </c>
      <c r="F16" s="3" t="s">
        <v>23</v>
      </c>
      <c r="G16" s="12" t="s">
        <v>3</v>
      </c>
      <c r="K16">
        <v>90</v>
      </c>
    </row>
    <row r="17" spans="2:11">
      <c r="B17" s="10">
        <v>15</v>
      </c>
      <c r="C17" s="2" t="s">
        <v>24</v>
      </c>
      <c r="D17" s="2">
        <v>2</v>
      </c>
      <c r="E17" s="13">
        <v>3.0002777777777867</v>
      </c>
      <c r="F17" s="7" t="s">
        <v>50</v>
      </c>
      <c r="G17" s="12" t="s">
        <v>3</v>
      </c>
      <c r="I17" s="1">
        <v>1</v>
      </c>
      <c r="J17" t="s">
        <v>14</v>
      </c>
      <c r="K17">
        <v>77</v>
      </c>
    </row>
    <row r="18" spans="2:11">
      <c r="B18" s="10">
        <v>16</v>
      </c>
      <c r="C18" s="2" t="s">
        <v>25</v>
      </c>
      <c r="D18" s="2">
        <v>3</v>
      </c>
      <c r="E18" s="13">
        <v>1.0002777777777743</v>
      </c>
      <c r="F18" s="5" t="s">
        <v>50</v>
      </c>
      <c r="G18" s="12" t="s">
        <v>3</v>
      </c>
      <c r="K18">
        <v>90</v>
      </c>
    </row>
    <row r="19" spans="2:11">
      <c r="B19" s="10">
        <v>17</v>
      </c>
      <c r="C19" s="6" t="s">
        <v>50</v>
      </c>
      <c r="D19" s="2">
        <v>1</v>
      </c>
      <c r="E19" s="13">
        <v>2.7777777777777778E-4</v>
      </c>
      <c r="F19" s="3" t="s">
        <v>26</v>
      </c>
      <c r="G19" s="12" t="s">
        <v>3</v>
      </c>
      <c r="K19">
        <v>90</v>
      </c>
    </row>
    <row r="20" spans="2:11">
      <c r="B20" s="10">
        <v>18</v>
      </c>
      <c r="C20" s="8" t="s">
        <v>50</v>
      </c>
      <c r="D20" s="2">
        <v>0</v>
      </c>
      <c r="E20" s="13">
        <v>2.7777777777777778E-4</v>
      </c>
      <c r="F20" s="3" t="s">
        <v>27</v>
      </c>
      <c r="G20" s="12" t="s">
        <v>3</v>
      </c>
      <c r="K20">
        <v>90</v>
      </c>
    </row>
    <row r="21" spans="2:11">
      <c r="B21" s="10">
        <v>19</v>
      </c>
      <c r="C21" s="2" t="s">
        <v>28</v>
      </c>
      <c r="D21" s="2">
        <v>0</v>
      </c>
      <c r="E21" s="13">
        <v>2.7777777777777778E-4</v>
      </c>
      <c r="F21" s="9" t="s">
        <v>50</v>
      </c>
      <c r="G21" s="12" t="s">
        <v>3</v>
      </c>
      <c r="K21">
        <v>90</v>
      </c>
    </row>
    <row r="22" spans="2:11">
      <c r="B22" s="10">
        <v>20</v>
      </c>
      <c r="C22" s="8" t="s">
        <v>50</v>
      </c>
      <c r="D22" s="2">
        <v>0</v>
      </c>
      <c r="E22" s="13">
        <v>2.7777777777777778E-4</v>
      </c>
      <c r="F22" s="3" t="s">
        <v>29</v>
      </c>
      <c r="G22" s="12" t="s">
        <v>3</v>
      </c>
      <c r="J22" t="s">
        <v>30</v>
      </c>
      <c r="K22">
        <v>81</v>
      </c>
    </row>
    <row r="23" spans="2:11">
      <c r="B23" s="10">
        <v>21</v>
      </c>
      <c r="C23" s="2" t="s">
        <v>31</v>
      </c>
      <c r="D23" s="2">
        <v>4</v>
      </c>
      <c r="E23" s="13">
        <v>2.7777777777777778E-4</v>
      </c>
      <c r="F23" s="5" t="s">
        <v>50</v>
      </c>
      <c r="G23" s="12" t="s">
        <v>3</v>
      </c>
      <c r="J23" t="s">
        <v>32</v>
      </c>
      <c r="K23">
        <v>60</v>
      </c>
    </row>
    <row r="24" spans="2:11">
      <c r="B24" s="10">
        <v>22</v>
      </c>
      <c r="C24" s="8" t="s">
        <v>50</v>
      </c>
      <c r="D24" s="2">
        <v>0</v>
      </c>
      <c r="E24" s="13">
        <v>2.7777777777777778E-4</v>
      </c>
      <c r="F24" s="3" t="s">
        <v>33</v>
      </c>
      <c r="G24" s="12" t="s">
        <v>3</v>
      </c>
      <c r="J24" t="s">
        <v>34</v>
      </c>
      <c r="K24">
        <v>87</v>
      </c>
    </row>
    <row r="25" spans="2:11">
      <c r="B25" s="10">
        <v>23</v>
      </c>
      <c r="C25" s="2" t="s">
        <v>35</v>
      </c>
      <c r="D25" s="2">
        <v>2</v>
      </c>
      <c r="E25" s="13">
        <v>2.0002777777777907</v>
      </c>
      <c r="F25" s="9" t="s">
        <v>50</v>
      </c>
      <c r="G25" s="12" t="s">
        <v>3</v>
      </c>
      <c r="K25">
        <v>90</v>
      </c>
    </row>
    <row r="26" spans="2:11">
      <c r="B26" s="10">
        <v>24</v>
      </c>
      <c r="C26" s="6" t="s">
        <v>50</v>
      </c>
      <c r="D26" s="2">
        <v>5</v>
      </c>
      <c r="E26" s="13">
        <v>1.0002777777777743</v>
      </c>
      <c r="F26" s="3" t="s">
        <v>36</v>
      </c>
      <c r="G26" s="12" t="s">
        <v>37</v>
      </c>
      <c r="H26" s="1">
        <v>1</v>
      </c>
      <c r="I26" s="1">
        <v>1</v>
      </c>
      <c r="K26">
        <v>90</v>
      </c>
    </row>
    <row r="27" spans="2:11">
      <c r="B27" s="10">
        <v>25</v>
      </c>
      <c r="C27" s="2" t="s">
        <v>38</v>
      </c>
      <c r="D27" s="2">
        <v>2</v>
      </c>
      <c r="E27" s="13">
        <v>2.7777777777777778E-4</v>
      </c>
      <c r="F27" s="5" t="s">
        <v>50</v>
      </c>
      <c r="G27" s="12" t="s">
        <v>39</v>
      </c>
      <c r="K27">
        <v>90</v>
      </c>
    </row>
    <row r="28" spans="2:11">
      <c r="B28" s="10">
        <v>26</v>
      </c>
      <c r="C28" s="6" t="s">
        <v>50</v>
      </c>
      <c r="D28" s="2">
        <v>2</v>
      </c>
      <c r="E28" s="13">
        <v>2.7777777777777778E-4</v>
      </c>
      <c r="F28" s="3" t="s">
        <v>15</v>
      </c>
      <c r="G28" s="12" t="s">
        <v>39</v>
      </c>
      <c r="H28" s="1">
        <v>1</v>
      </c>
      <c r="K28">
        <v>90</v>
      </c>
    </row>
    <row r="29" spans="2:11">
      <c r="B29" s="10">
        <v>27</v>
      </c>
      <c r="C29" s="2" t="s">
        <v>40</v>
      </c>
      <c r="D29" s="2">
        <v>3</v>
      </c>
      <c r="E29" s="13">
        <v>2.0002777777777707</v>
      </c>
      <c r="F29" s="5" t="s">
        <v>50</v>
      </c>
      <c r="G29" s="12" t="s">
        <v>3</v>
      </c>
      <c r="H29" s="1">
        <v>1</v>
      </c>
      <c r="K29">
        <v>90</v>
      </c>
    </row>
    <row r="30" spans="2:11">
      <c r="B30" s="10">
        <v>28</v>
      </c>
      <c r="C30" s="4" t="s">
        <v>50</v>
      </c>
      <c r="D30" s="2">
        <v>0</v>
      </c>
      <c r="E30" s="13">
        <v>1.0002777777777778</v>
      </c>
      <c r="F30" s="3" t="s">
        <v>41</v>
      </c>
      <c r="G30" s="12" t="s">
        <v>3</v>
      </c>
      <c r="J30" t="s">
        <v>42</v>
      </c>
      <c r="K30">
        <v>72</v>
      </c>
    </row>
    <row r="31" spans="2:11">
      <c r="B31" s="10">
        <v>29</v>
      </c>
      <c r="C31" s="2" t="s">
        <v>43</v>
      </c>
      <c r="D31" s="2">
        <v>1</v>
      </c>
      <c r="E31" s="13">
        <v>2.0002777777777809</v>
      </c>
      <c r="F31" s="7" t="s">
        <v>50</v>
      </c>
      <c r="G31" s="12" t="s">
        <v>6</v>
      </c>
      <c r="H31" s="1">
        <v>1</v>
      </c>
      <c r="I31" s="1">
        <v>1</v>
      </c>
      <c r="K31">
        <v>90</v>
      </c>
    </row>
    <row r="32" spans="2:11">
      <c r="B32" s="10">
        <v>30</v>
      </c>
      <c r="C32" s="4" t="s">
        <v>50</v>
      </c>
      <c r="D32" s="2">
        <v>1</v>
      </c>
      <c r="E32" s="13">
        <v>2.0002777777777809</v>
      </c>
      <c r="F32" s="3" t="s">
        <v>22</v>
      </c>
      <c r="G32" s="12" t="s">
        <v>3</v>
      </c>
      <c r="K32">
        <v>90</v>
      </c>
    </row>
    <row r="33" spans="2:11">
      <c r="B33" s="10">
        <v>31</v>
      </c>
      <c r="C33" s="2" t="s">
        <v>23</v>
      </c>
      <c r="D33" s="2">
        <v>4</v>
      </c>
      <c r="E33" s="13">
        <v>2.7777777777777778E-4</v>
      </c>
      <c r="F33" s="5" t="s">
        <v>50</v>
      </c>
      <c r="G33" s="12" t="s">
        <v>3</v>
      </c>
      <c r="K33">
        <v>90</v>
      </c>
    </row>
    <row r="34" spans="2:11">
      <c r="B34" s="10">
        <v>32</v>
      </c>
      <c r="C34" s="6" t="s">
        <v>50</v>
      </c>
      <c r="D34" s="2">
        <v>2</v>
      </c>
      <c r="E34" s="13">
        <v>1.0002777777777943</v>
      </c>
      <c r="F34" s="3" t="s">
        <v>44</v>
      </c>
      <c r="G34" s="12" t="s">
        <v>39</v>
      </c>
      <c r="K34">
        <v>90</v>
      </c>
    </row>
    <row r="35" spans="2:11">
      <c r="B35" s="10">
        <v>33</v>
      </c>
      <c r="C35" s="4" t="s">
        <v>50</v>
      </c>
      <c r="D35" s="2">
        <v>1</v>
      </c>
      <c r="E35" s="13">
        <v>3.0002777777777769</v>
      </c>
      <c r="F35" s="3" t="s">
        <v>25</v>
      </c>
      <c r="G35" s="12" t="s">
        <v>3</v>
      </c>
      <c r="K35">
        <v>90</v>
      </c>
    </row>
    <row r="36" spans="2:11">
      <c r="B36" s="10">
        <v>34</v>
      </c>
      <c r="C36" s="2" t="s">
        <v>45</v>
      </c>
      <c r="D36" s="2">
        <v>1</v>
      </c>
      <c r="E36" s="13">
        <v>1.0002777777777843</v>
      </c>
      <c r="F36" s="9" t="s">
        <v>50</v>
      </c>
      <c r="G36" s="12" t="s">
        <v>39</v>
      </c>
      <c r="K36">
        <v>90</v>
      </c>
    </row>
    <row r="44" spans="2:11">
      <c r="K44" s="3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2a</vt:lpstr>
      <vt:lpstr>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AGÜERO ENCINAS, JULIO</dc:creator>
  <cp:lastModifiedBy>AGÜERO ENCINAS, JULIO</cp:lastModifiedBy>
  <dcterms:created xsi:type="dcterms:W3CDTF">2025-08-27T20:18:34Z</dcterms:created>
  <dcterms:modified xsi:type="dcterms:W3CDTF">2025-08-27T23:10:45Z</dcterms:modified>
</cp:coreProperties>
</file>