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uliu\Documents\biwenger\"/>
    </mc:Choice>
  </mc:AlternateContent>
  <xr:revisionPtr revIDLastSave="0" documentId="13_ncr:1_{974DAC48-D3B4-48E6-BC09-CE758F82E04E}" xr6:coauthVersionLast="47" xr6:coauthVersionMax="47" xr10:uidLastSave="{00000000-0000-0000-0000-000000000000}"/>
  <bookViews>
    <workbookView xWindow="-110" yWindow="-110" windowWidth="19420" windowHeight="11500" tabRatio="995" firstSheet="3" activeTab="7" xr2:uid="{00000000-000D-0000-FFFF-FFFF00000000}"/>
  </bookViews>
  <sheets>
    <sheet name="Automate" sheetId="1" r:id="rId1"/>
    <sheet name="Guacamayos" sheetId="2" r:id="rId2"/>
    <sheet name="Cachoneros Mantilla Bésalo" sheetId="3" r:id="rId3"/>
    <sheet name="Llaule" sheetId="4" r:id="rId4"/>
    <sheet name="Steaua de grifo" sheetId="5" r:id="rId5"/>
    <sheet name="Mompia FC" sheetId="6" r:id="rId6"/>
    <sheet name="La Piñera" sheetId="7" r:id="rId7"/>
    <sheet name="Costa norte" sheetId="8" r:id="rId8"/>
    <sheet name="Lábaro FC" sheetId="9" r:id="rId9"/>
    <sheet name="Cacafuti" sheetId="10" r:id="rId10"/>
    <sheet name="Luis Padrique" sheetId="11" r:id="rId11"/>
    <sheet name="Real Garrucho" sheetId="12" r:id="rId12"/>
    <sheet name="Tuma Tuma Nin" sheetId="13" r:id="rId13"/>
    <sheet name="Id_Jugadores" sheetId="14" state="hidden" r:id="rId14"/>
    <sheet name="Clausulas" sheetId="15" state="hidden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5" l="1"/>
  <c r="F46" i="15" s="1"/>
  <c r="D45" i="15"/>
  <c r="F45" i="15" s="1"/>
  <c r="D44" i="15"/>
  <c r="F44" i="15" s="1"/>
  <c r="D43" i="15"/>
  <c r="F43" i="15" s="1"/>
  <c r="D41" i="15"/>
  <c r="F41" i="15" s="1"/>
  <c r="D40" i="15"/>
  <c r="F40" i="15" s="1"/>
  <c r="D39" i="15"/>
  <c r="D38" i="15"/>
  <c r="F38" i="15" s="1"/>
  <c r="D37" i="15"/>
  <c r="F37" i="15" s="1"/>
  <c r="D36" i="15"/>
  <c r="E36" i="15" s="1"/>
  <c r="D35" i="15"/>
  <c r="E35" i="15" s="1"/>
  <c r="D34" i="15"/>
  <c r="F34" i="15" s="1"/>
  <c r="D33" i="15"/>
  <c r="F33" i="15" s="1"/>
  <c r="D32" i="15"/>
  <c r="E32" i="15" s="1"/>
  <c r="D31" i="15"/>
  <c r="D30" i="15"/>
  <c r="D29" i="15"/>
  <c r="F29" i="15" s="1"/>
  <c r="D28" i="15"/>
  <c r="D27" i="15"/>
  <c r="D26" i="15"/>
  <c r="F26" i="15" s="1"/>
  <c r="D25" i="15"/>
  <c r="F25" i="15" s="1"/>
  <c r="D24" i="15"/>
  <c r="F24" i="15" s="1"/>
  <c r="D23" i="15"/>
  <c r="D22" i="15"/>
  <c r="E22" i="15" s="1"/>
  <c r="D21" i="15"/>
  <c r="F21" i="15" s="1"/>
  <c r="D20" i="15"/>
  <c r="E20" i="15" s="1"/>
  <c r="D19" i="15"/>
  <c r="E19" i="15" s="1"/>
  <c r="D18" i="15"/>
  <c r="F18" i="15" s="1"/>
  <c r="D17" i="15"/>
  <c r="F17" i="15" s="1"/>
  <c r="D16" i="15"/>
  <c r="E16" i="15" s="1"/>
  <c r="I3" i="15" s="1"/>
  <c r="D15" i="15"/>
  <c r="D14" i="15"/>
  <c r="D13" i="15"/>
  <c r="F13" i="15" s="1"/>
  <c r="D12" i="15"/>
  <c r="D11" i="15"/>
  <c r="D10" i="15"/>
  <c r="E7" i="15" s="1"/>
  <c r="D9" i="15"/>
  <c r="F9" i="15" s="1"/>
  <c r="D8" i="15"/>
  <c r="F8" i="15" s="1"/>
  <c r="D7" i="15"/>
  <c r="D6" i="15"/>
  <c r="F6" i="15" s="1"/>
  <c r="D5" i="15"/>
  <c r="F39" i="15" s="1"/>
  <c r="L5" i="13"/>
  <c r="H5" i="13"/>
  <c r="G5" i="13"/>
  <c r="G14" i="13" s="1"/>
  <c r="L4" i="13"/>
  <c r="G2" i="13"/>
  <c r="L1" i="13"/>
  <c r="B17" i="12"/>
  <c r="L5" i="12"/>
  <c r="H5" i="12"/>
  <c r="G5" i="12"/>
  <c r="G14" i="12" s="1"/>
  <c r="L4" i="12"/>
  <c r="G2" i="12"/>
  <c r="L1" i="12"/>
  <c r="G8" i="11"/>
  <c r="G14" i="11" s="1"/>
  <c r="L5" i="11"/>
  <c r="H5" i="11"/>
  <c r="G5" i="11"/>
  <c r="L4" i="11"/>
  <c r="G2" i="11"/>
  <c r="L1" i="11"/>
  <c r="B17" i="10"/>
  <c r="G8" i="10"/>
  <c r="L5" i="10"/>
  <c r="H5" i="10"/>
  <c r="G5" i="10"/>
  <c r="L4" i="10"/>
  <c r="G2" i="10"/>
  <c r="G14" i="10" s="1"/>
  <c r="L1" i="10"/>
  <c r="G11" i="9"/>
  <c r="L5" i="9"/>
  <c r="H5" i="9"/>
  <c r="G5" i="9"/>
  <c r="L4" i="9"/>
  <c r="G2" i="9"/>
  <c r="G14" i="9" s="1"/>
  <c r="H8" i="9" s="1"/>
  <c r="L1" i="9"/>
  <c r="B16" i="8"/>
  <c r="G8" i="8"/>
  <c r="I6" i="8"/>
  <c r="L5" i="8"/>
  <c r="H5" i="8"/>
  <c r="G5" i="8"/>
  <c r="L4" i="8"/>
  <c r="G2" i="8"/>
  <c r="G14" i="8" s="1"/>
  <c r="L1" i="8"/>
  <c r="B17" i="7"/>
  <c r="L5" i="7"/>
  <c r="H5" i="7"/>
  <c r="G5" i="7"/>
  <c r="G14" i="7" s="1"/>
  <c r="L4" i="7"/>
  <c r="G2" i="7"/>
  <c r="L1" i="7"/>
  <c r="B17" i="6"/>
  <c r="L5" i="6"/>
  <c r="G5" i="6"/>
  <c r="L4" i="6"/>
  <c r="I4" i="6"/>
  <c r="H5" i="6" s="1"/>
  <c r="G14" i="6" s="1"/>
  <c r="G2" i="6"/>
  <c r="L1" i="6"/>
  <c r="B17" i="5"/>
  <c r="L5" i="5"/>
  <c r="H5" i="5"/>
  <c r="G14" i="5" s="1"/>
  <c r="G5" i="5"/>
  <c r="L4" i="5"/>
  <c r="G2" i="5"/>
  <c r="L1" i="5"/>
  <c r="F8" i="4"/>
  <c r="J5" i="4"/>
  <c r="E5" i="4"/>
  <c r="J4" i="4"/>
  <c r="E2" i="4"/>
  <c r="E11" i="4" s="1"/>
  <c r="J1" i="4"/>
  <c r="B17" i="3"/>
  <c r="G14" i="3"/>
  <c r="H8" i="3" s="1"/>
  <c r="G11" i="3"/>
  <c r="L5" i="3"/>
  <c r="H5" i="3"/>
  <c r="G5" i="3"/>
  <c r="L4" i="3"/>
  <c r="G2" i="3"/>
  <c r="L1" i="3"/>
  <c r="B17" i="2"/>
  <c r="L5" i="2"/>
  <c r="H5" i="2"/>
  <c r="G5" i="2"/>
  <c r="G14" i="2" s="1"/>
  <c r="L4" i="2"/>
  <c r="G2" i="2"/>
  <c r="L1" i="2"/>
  <c r="D3" i="1"/>
  <c r="C3" i="1"/>
  <c r="B3" i="1"/>
  <c r="D2" i="1"/>
  <c r="C2" i="1"/>
  <c r="B2" i="1"/>
  <c r="D1" i="1"/>
  <c r="C1" i="1"/>
  <c r="B1" i="1"/>
  <c r="H8" i="13" l="1"/>
  <c r="G11" i="13"/>
  <c r="G11" i="7"/>
  <c r="H8" i="7"/>
  <c r="G11" i="5"/>
  <c r="H8" i="5"/>
  <c r="H8" i="8"/>
  <c r="G11" i="8"/>
  <c r="G11" i="10"/>
  <c r="H8" i="10"/>
  <c r="G11" i="12"/>
  <c r="H8" i="12"/>
  <c r="F14" i="4"/>
  <c r="F11" i="4"/>
  <c r="G11" i="2"/>
  <c r="H8" i="2"/>
  <c r="G11" i="11"/>
  <c r="H8" i="11"/>
  <c r="G11" i="6"/>
  <c r="H8" i="6"/>
  <c r="E18" i="15"/>
  <c r="E14" i="15"/>
  <c r="F19" i="15"/>
  <c r="F35" i="15"/>
  <c r="E9" i="15"/>
  <c r="F14" i="15"/>
  <c r="E25" i="15"/>
  <c r="F30" i="15"/>
  <c r="E41" i="15"/>
  <c r="F12" i="15"/>
  <c r="E23" i="15"/>
  <c r="E39" i="15"/>
  <c r="F7" i="15"/>
  <c r="F23" i="15"/>
  <c r="E30" i="15"/>
  <c r="E31" i="15"/>
  <c r="F36" i="15"/>
  <c r="F42" i="15"/>
  <c r="E10" i="15"/>
  <c r="F15" i="15"/>
  <c r="E26" i="15"/>
  <c r="F31" i="15"/>
  <c r="E5" i="15"/>
  <c r="F10" i="15"/>
  <c r="E21" i="15"/>
  <c r="E37" i="15"/>
  <c r="E42" i="15"/>
  <c r="F5" i="15"/>
  <c r="E43" i="15"/>
  <c r="E27" i="15"/>
  <c r="F32" i="15"/>
  <c r="E11" i="15"/>
  <c r="F16" i="15"/>
  <c r="E6" i="15"/>
  <c r="F11" i="15"/>
  <c r="E38" i="15"/>
  <c r="E17" i="15"/>
  <c r="F22" i="15"/>
  <c r="E33" i="15"/>
  <c r="E44" i="15"/>
  <c r="F28" i="15"/>
  <c r="E15" i="15"/>
  <c r="F20" i="15"/>
  <c r="F27" i="15"/>
  <c r="E12" i="15"/>
  <c r="E28" i="15"/>
  <c r="E45" i="15"/>
  <c r="E34" i="15"/>
  <c r="E13" i="15"/>
  <c r="E29" i="15"/>
  <c r="E8" i="15"/>
  <c r="E24" i="15"/>
  <c r="E40" i="15"/>
  <c r="E46" i="15"/>
</calcChain>
</file>

<file path=xl/sharedStrings.xml><?xml version="1.0" encoding="utf-8"?>
<sst xmlns="http://schemas.openxmlformats.org/spreadsheetml/2006/main" count="1837" uniqueCount="628">
  <si>
    <t>Unax Agote: Cambia por 800.000 € a Costa norte</t>
  </si>
  <si>
    <t>Yayo: Cambia por 743.400 € a Llaule</t>
  </si>
  <si>
    <t>Marvel: Cambia por 2.260.000 € a Llaule</t>
  </si>
  <si>
    <t>Jugadores Iniciales</t>
  </si>
  <si>
    <t>Valor dia 0</t>
  </si>
  <si>
    <t>Altas</t>
  </si>
  <si>
    <t>Gastado</t>
  </si>
  <si>
    <t>Bajas</t>
  </si>
  <si>
    <t>Ingresado</t>
  </si>
  <si>
    <t>Gastado Total</t>
  </si>
  <si>
    <t>Valor Plantilla Actual</t>
  </si>
  <si>
    <t>Beneficio J</t>
  </si>
  <si>
    <t>Ultima Actualización</t>
  </si>
  <si>
    <t>Plamen Andreev</t>
  </si>
  <si>
    <t>Mario Climent</t>
  </si>
  <si>
    <t>Manu Justo</t>
  </si>
  <si>
    <t>J2</t>
  </si>
  <si>
    <t>Nico Ratti</t>
  </si>
  <si>
    <t>Álex Calatrava</t>
  </si>
  <si>
    <t>J3</t>
  </si>
  <si>
    <t>Francisco Montero</t>
  </si>
  <si>
    <t>Amatucci</t>
  </si>
  <si>
    <t>Isaac Obeng</t>
  </si>
  <si>
    <t>Ingresado Total</t>
  </si>
  <si>
    <t>Beneficio Total Jornadas</t>
  </si>
  <si>
    <t>J4</t>
  </si>
  <si>
    <t>Compras</t>
  </si>
  <si>
    <t>Diego Sánchez</t>
  </si>
  <si>
    <t>Aitor Córdoba</t>
  </si>
  <si>
    <t>Saúl del Cerro</t>
  </si>
  <si>
    <t>J5</t>
  </si>
  <si>
    <t>Ventas</t>
  </si>
  <si>
    <t>Juan Gutiérrez</t>
  </si>
  <si>
    <t>Palomares</t>
  </si>
  <si>
    <t>J6</t>
  </si>
  <si>
    <t>Juanma Herzog</t>
  </si>
  <si>
    <t>David Larrubia</t>
  </si>
  <si>
    <t>Alcaraz</t>
  </si>
  <si>
    <t>Saldo Inicial</t>
  </si>
  <si>
    <t>Beneficio</t>
  </si>
  <si>
    <t>J7</t>
  </si>
  <si>
    <t>Jorge Moreno</t>
  </si>
  <si>
    <t>Adrián Rodríguez</t>
  </si>
  <si>
    <t>J8</t>
  </si>
  <si>
    <t>Iván Gil</t>
  </si>
  <si>
    <t>Selvi Clua</t>
  </si>
  <si>
    <t>Xavi Moreno</t>
  </si>
  <si>
    <t>J9</t>
  </si>
  <si>
    <t>Peio Canales</t>
  </si>
  <si>
    <t>García Pascual</t>
  </si>
  <si>
    <t>Ofrecer</t>
  </si>
  <si>
    <t>J10</t>
  </si>
  <si>
    <t>Naim García</t>
  </si>
  <si>
    <t>J11</t>
  </si>
  <si>
    <t>Marc-Olivier Doué</t>
  </si>
  <si>
    <t>Javi Moreno</t>
  </si>
  <si>
    <t>J12</t>
  </si>
  <si>
    <t>Raúl Lizoain</t>
  </si>
  <si>
    <t>Presupuesto</t>
  </si>
  <si>
    <t>J13</t>
  </si>
  <si>
    <t>Juanmi Latasa</t>
  </si>
  <si>
    <t>J14</t>
  </si>
  <si>
    <t>J15</t>
  </si>
  <si>
    <t>J16</t>
  </si>
  <si>
    <t>J17</t>
  </si>
  <si>
    <t>J18</t>
  </si>
  <si>
    <t>J19</t>
  </si>
  <si>
    <t>J20</t>
  </si>
  <si>
    <t>J21</t>
  </si>
  <si>
    <t>J22</t>
  </si>
  <si>
    <t>J23</t>
  </si>
  <si>
    <t>J24</t>
  </si>
  <si>
    <t>J25</t>
  </si>
  <si>
    <t>J26</t>
  </si>
  <si>
    <t>J27</t>
  </si>
  <si>
    <t>J28</t>
  </si>
  <si>
    <t>J29</t>
  </si>
  <si>
    <t>J30</t>
  </si>
  <si>
    <t>J31</t>
  </si>
  <si>
    <t>J32</t>
  </si>
  <si>
    <t>J33</t>
  </si>
  <si>
    <t>J34</t>
  </si>
  <si>
    <t>J35</t>
  </si>
  <si>
    <t>J36</t>
  </si>
  <si>
    <t>J37</t>
  </si>
  <si>
    <t>J38</t>
  </si>
  <si>
    <t>J39</t>
  </si>
  <si>
    <t>J40</t>
  </si>
  <si>
    <t>J41</t>
  </si>
  <si>
    <t>J42</t>
  </si>
  <si>
    <t>Dani Jiménez</t>
  </si>
  <si>
    <t>Lander Olaetxea</t>
  </si>
  <si>
    <t>Gui Guedes</t>
  </si>
  <si>
    <t>Dani Martín</t>
  </si>
  <si>
    <t>Marc Cardona</t>
  </si>
  <si>
    <t>Mateo Mejía</t>
  </si>
  <si>
    <t>Gregorio Sierra</t>
  </si>
  <si>
    <t>Gael Alonso</t>
  </si>
  <si>
    <t>Jastin Garcia</t>
  </si>
  <si>
    <t>Aritz Aldasoro</t>
  </si>
  <si>
    <t>Marc Bombardó</t>
  </si>
  <si>
    <t>Iván Morante</t>
  </si>
  <si>
    <t>Nikola Milicic</t>
  </si>
  <si>
    <t>Milos Lukovic</t>
  </si>
  <si>
    <t>Marcos Luna</t>
  </si>
  <si>
    <t>Etienne Eto'o</t>
  </si>
  <si>
    <t>Mario González</t>
  </si>
  <si>
    <t>David González</t>
  </si>
  <si>
    <t>Iñigo Vicente</t>
  </si>
  <si>
    <t>Pablo Sáenz</t>
  </si>
  <si>
    <t>Piña</t>
  </si>
  <si>
    <t>Izan Merino</t>
  </si>
  <si>
    <t>Gorka Carrera</t>
  </si>
  <si>
    <t>Juan Pedro</t>
  </si>
  <si>
    <t>Gaspar Campos</t>
  </si>
  <si>
    <t>Luis Chacón</t>
  </si>
  <si>
    <t>Pérdidas</t>
  </si>
  <si>
    <t>Ingresos</t>
  </si>
  <si>
    <t>Total Ingresos</t>
  </si>
  <si>
    <t>Valor Inicial</t>
  </si>
  <si>
    <t>Brian Cipenga</t>
  </si>
  <si>
    <t>Marcos de Sousa</t>
  </si>
  <si>
    <t>Ekain Díaz</t>
  </si>
  <si>
    <t>Eric Curbelo</t>
  </si>
  <si>
    <t>Moussa Diakité</t>
  </si>
  <si>
    <t>Jair</t>
  </si>
  <si>
    <t>Total Perdidas</t>
  </si>
  <si>
    <t>Valor Actual</t>
  </si>
  <si>
    <t>Áron Yaakobishvili</t>
  </si>
  <si>
    <t>Ortuño</t>
  </si>
  <si>
    <t>Bicho</t>
  </si>
  <si>
    <t>Ronaldo</t>
  </si>
  <si>
    <t>Mika Mármol</t>
  </si>
  <si>
    <t>Brais Martinez</t>
  </si>
  <si>
    <t>Total de beneficio Jornadas</t>
  </si>
  <si>
    <t>Mario Jimenez</t>
  </si>
  <si>
    <t>Arnau Rafus</t>
  </si>
  <si>
    <t>David Torres</t>
  </si>
  <si>
    <t>Ayman Arguigue</t>
  </si>
  <si>
    <t>Riki Rodríguez</t>
  </si>
  <si>
    <t>Saldo Actual</t>
  </si>
  <si>
    <t>Juan Pérez</t>
  </si>
  <si>
    <t>Saul Garcia</t>
  </si>
  <si>
    <t>Íñigo Sainz-Maza</t>
  </si>
  <si>
    <t>Juan Larios</t>
  </si>
  <si>
    <t>Yayo</t>
  </si>
  <si>
    <t>Marvel</t>
  </si>
  <si>
    <t>Cristian Rodríguez</t>
  </si>
  <si>
    <t>Arnau Puigmal</t>
  </si>
  <si>
    <t>Carlos Dotor</t>
  </si>
  <si>
    <t>Adu Ares</t>
  </si>
  <si>
    <t>Paulino</t>
  </si>
  <si>
    <t>Selu Diallo</t>
  </si>
  <si>
    <t>André Horta</t>
  </si>
  <si>
    <t>Pau Sans</t>
  </si>
  <si>
    <t>Ontiveros</t>
  </si>
  <si>
    <t>Arana</t>
  </si>
  <si>
    <t>Mohamed Bouldini</t>
  </si>
  <si>
    <t>Diego González</t>
  </si>
  <si>
    <t>Pedro Alemañ</t>
  </si>
  <si>
    <t>Nélson Monte</t>
  </si>
  <si>
    <t>Jefté Betancor</t>
  </si>
  <si>
    <t>Duk</t>
  </si>
  <si>
    <t>Ramón Enríquez</t>
  </si>
  <si>
    <t>Sergio Cubero</t>
  </si>
  <si>
    <t>Gracieta 16M</t>
  </si>
  <si>
    <t>Gaëtan Poussin</t>
  </si>
  <si>
    <t>Jesús Owono</t>
  </si>
  <si>
    <t>Peru Rodríguez</t>
  </si>
  <si>
    <t>Michal Willmann</t>
  </si>
  <si>
    <t>Adrián Pica</t>
  </si>
  <si>
    <t>Ximo Navarro</t>
  </si>
  <si>
    <t>Dani Requena</t>
  </si>
  <si>
    <t>Arnau Comas</t>
  </si>
  <si>
    <t>Guti</t>
  </si>
  <si>
    <t>Jaouab</t>
  </si>
  <si>
    <t>Alex Suárez</t>
  </si>
  <si>
    <t>Álvaro Rodríguez</t>
  </si>
  <si>
    <t>Anuar</t>
  </si>
  <si>
    <t>Pastoriza</t>
  </si>
  <si>
    <t>Higinio</t>
  </si>
  <si>
    <t>Youness Lachhab</t>
  </si>
  <si>
    <t>Min-su</t>
  </si>
  <si>
    <t>Gabriel Barès</t>
  </si>
  <si>
    <t>Aarón Ochoa</t>
  </si>
  <si>
    <t>Miguel Atienza</t>
  </si>
  <si>
    <t>Rafael Tresaco</t>
  </si>
  <si>
    <t>Matia Barzic</t>
  </si>
  <si>
    <t>Ousmane Camara</t>
  </si>
  <si>
    <t>Leonardo Buta</t>
  </si>
  <si>
    <t>Jon Bautista</t>
  </si>
  <si>
    <t>Pedro López</t>
  </si>
  <si>
    <t>Mulattieri</t>
  </si>
  <si>
    <t>De La Fuente</t>
  </si>
  <si>
    <t>Édgar Badía</t>
  </si>
  <si>
    <t>Víctor Aznar</t>
  </si>
  <si>
    <t>Álex Lizancos</t>
  </si>
  <si>
    <t>Sergi Maestre</t>
  </si>
  <si>
    <t>Nico Melamed</t>
  </si>
  <si>
    <t>Moussa Diarra</t>
  </si>
  <si>
    <t>Keidi Bare</t>
  </si>
  <si>
    <t>Albert Lottin</t>
  </si>
  <si>
    <t>Ibrahima Koné</t>
  </si>
  <si>
    <t>Carlos Marín</t>
  </si>
  <si>
    <t>Jeremy Arévalo</t>
  </si>
  <si>
    <t>Anaitz Arbilla</t>
  </si>
  <si>
    <t>Xavi Sintes</t>
  </si>
  <si>
    <t>Sergio Escudero</t>
  </si>
  <si>
    <t>Sergio Rodelas</t>
  </si>
  <si>
    <t>Jonathan Gómez</t>
  </si>
  <si>
    <t>Théo Zidane</t>
  </si>
  <si>
    <t>Yeray Cabanzón</t>
  </si>
  <si>
    <t>Pablo Ramón</t>
  </si>
  <si>
    <t>Alberto del Moral</t>
  </si>
  <si>
    <t>Kazunari Kita</t>
  </si>
  <si>
    <t>Pedro Ortiz</t>
  </si>
  <si>
    <t>Stipe Biuk</t>
  </si>
  <si>
    <t>Jon Morcillo</t>
  </si>
  <si>
    <t>Mathis Lachuer</t>
  </si>
  <si>
    <t>Toni Abad</t>
  </si>
  <si>
    <t>Astiazaran</t>
  </si>
  <si>
    <t>Manu Hernando</t>
  </si>
  <si>
    <t>Egoitz Arana</t>
  </si>
  <si>
    <t>Suleiman Camara</t>
  </si>
  <si>
    <t>Alejandro Meléndez</t>
  </si>
  <si>
    <t>Melero</t>
  </si>
  <si>
    <t>Manuel Fuster</t>
  </si>
  <si>
    <t>Fernando Martinez</t>
  </si>
  <si>
    <t>Alfonso Herrero</t>
  </si>
  <si>
    <t>Pablo Pérez</t>
  </si>
  <si>
    <t>Iker Kortajarena</t>
  </si>
  <si>
    <t>Ro Abajas</t>
  </si>
  <si>
    <t>Rodri Suárez</t>
  </si>
  <si>
    <t>Mikel Rodriguez</t>
  </si>
  <si>
    <t>José Ángel Jurado</t>
  </si>
  <si>
    <t>Quique Fornos</t>
  </si>
  <si>
    <t>Dani Escriche</t>
  </si>
  <si>
    <t>Anderson Arroyo</t>
  </si>
  <si>
    <t>Agustín Sienra</t>
  </si>
  <si>
    <t>José Arnaiz</t>
  </si>
  <si>
    <t>Víctor García</t>
  </si>
  <si>
    <t>Fer Niño</t>
  </si>
  <si>
    <t>Hongla</t>
  </si>
  <si>
    <t>Jorge Pulido</t>
  </si>
  <si>
    <t>Víctor Meseguer</t>
  </si>
  <si>
    <t>Jan Salas</t>
  </si>
  <si>
    <t>David Mella</t>
  </si>
  <si>
    <t>Facundo González</t>
  </si>
  <si>
    <t>Martí Vilà</t>
  </si>
  <si>
    <t>José Lazo</t>
  </si>
  <si>
    <t>José Antonio Caro</t>
  </si>
  <si>
    <t>Alex Lebarbier</t>
  </si>
  <si>
    <t>Jokin Gabilondo</t>
  </si>
  <si>
    <t>Fran Gámez</t>
  </si>
  <si>
    <t>Antonio Puertas</t>
  </si>
  <si>
    <t>Imanol García</t>
  </si>
  <si>
    <t>Unax Agote</t>
  </si>
  <si>
    <t>Weissman</t>
  </si>
  <si>
    <t>Thomas Carrique</t>
  </si>
  <si>
    <t>Iñigo Córdoba</t>
  </si>
  <si>
    <t>Aitor Fraga</t>
  </si>
  <si>
    <t>Agus Medina</t>
  </si>
  <si>
    <t>Guilherme Fernandes</t>
  </si>
  <si>
    <t>Javi Martínez</t>
  </si>
  <si>
    <t>Ale García</t>
  </si>
  <si>
    <t>Ignasi Vilarrasa</t>
  </si>
  <si>
    <t>Florian Miguel</t>
  </si>
  <si>
    <t>Brian Ocampo</t>
  </si>
  <si>
    <t>Souleymane Faye</t>
  </si>
  <si>
    <t>Jugadores</t>
  </si>
  <si>
    <t>Guillermo Vallejo</t>
  </si>
  <si>
    <t>Iker Álvarez</t>
  </si>
  <si>
    <t>Rubén González</t>
  </si>
  <si>
    <t>Fernando Medrano</t>
  </si>
  <si>
    <t>Lorenzo Aguado</t>
  </si>
  <si>
    <t>Diego Hormigo</t>
  </si>
  <si>
    <t>Iker Córdoba</t>
  </si>
  <si>
    <t>Stanko Juric</t>
  </si>
  <si>
    <t>Sebas Moyano</t>
  </si>
  <si>
    <t>Sergio Molina</t>
  </si>
  <si>
    <t>Villahermosa</t>
  </si>
  <si>
    <t>Bless Aniekan</t>
  </si>
  <si>
    <t>Awer Mabil</t>
  </si>
  <si>
    <t>Ekain Orobengoa</t>
  </si>
  <si>
    <t>Jorge Pascual</t>
  </si>
  <si>
    <t>Jonmi Magunagoitia</t>
  </si>
  <si>
    <t>Sangalli</t>
  </si>
  <si>
    <t>Mamadou Traoré</t>
  </si>
  <si>
    <t>Dani Barcia</t>
  </si>
  <si>
    <t>Joaquín González</t>
  </si>
  <si>
    <t>Carlos Puga</t>
  </si>
  <si>
    <t>Javier Castro</t>
  </si>
  <si>
    <t>Hodei Arrillaga</t>
  </si>
  <si>
    <t>Sergio Barcia</t>
  </si>
  <si>
    <t>Victor Valverde</t>
  </si>
  <si>
    <t>Manu Trigueros</t>
  </si>
  <si>
    <t>Àlex Corredera</t>
  </si>
  <si>
    <t>Peru Nolaskoain</t>
  </si>
  <si>
    <t>Pablo García</t>
  </si>
  <si>
    <t>Tincho Conde</t>
  </si>
  <si>
    <t>Eddahchouri</t>
  </si>
  <si>
    <t>Isma Ruiz</t>
  </si>
  <si>
    <t>De la Rosa</t>
  </si>
  <si>
    <t>Baba</t>
  </si>
  <si>
    <t>Diego Villares</t>
  </si>
  <si>
    <t>Nico Toca</t>
  </si>
  <si>
    <t>Samed Bazdar</t>
  </si>
  <si>
    <t>Álex Martín</t>
  </si>
  <si>
    <t>Iñaki Rupérez</t>
  </si>
  <si>
    <t>Julio Alonso</t>
  </si>
  <si>
    <t>Jonathan Viera</t>
  </si>
  <si>
    <t>Iván Garriel</t>
  </si>
  <si>
    <t>Yeremay Hernández</t>
  </si>
  <si>
    <t>Einar Galilea</t>
  </si>
  <si>
    <t>Pau Casadesús</t>
  </si>
  <si>
    <t>Escalante</t>
  </si>
  <si>
    <t>Andrés Martín</t>
  </si>
  <si>
    <t>Brais Martínez</t>
  </si>
  <si>
    <t>Diego Murillo</t>
  </si>
  <si>
    <t>Iván Alejo</t>
  </si>
  <si>
    <t>Aguirregabiria</t>
  </si>
  <si>
    <t>Kirian Rodríguez</t>
  </si>
  <si>
    <t>Jon Magunacelaya</t>
  </si>
  <si>
    <t>Gustavo Puerta</t>
  </si>
  <si>
    <t>Aleix Garrido</t>
  </si>
  <si>
    <t>Andrés Fernández</t>
  </si>
  <si>
    <t>Juan Soriano</t>
  </si>
  <si>
    <t>Iza Carcelen</t>
  </si>
  <si>
    <t>Flakus Bosilj</t>
  </si>
  <si>
    <t>Kevin Vázquez</t>
  </si>
  <si>
    <t>Chuki</t>
  </si>
  <si>
    <t>Sergio Gonzalez</t>
  </si>
  <si>
    <t>Yaakobishvili</t>
  </si>
  <si>
    <t>Yann Kembo</t>
  </si>
  <si>
    <t>Sergi Enrich</t>
  </si>
  <si>
    <t>Selim Amallah</t>
  </si>
  <si>
    <t>Alfred Caicedo</t>
  </si>
  <si>
    <t>Ignacio Martín</t>
  </si>
  <si>
    <t>Liberto</t>
  </si>
  <si>
    <t>Pablo Tomeo</t>
  </si>
  <si>
    <t>Javier Martón</t>
  </si>
  <si>
    <t>Marc Doménech</t>
  </si>
  <si>
    <t>Suso</t>
  </si>
  <si>
    <t>Bassinga</t>
  </si>
  <si>
    <t>Jesús Álvarez</t>
  </si>
  <si>
    <t>Quagliata</t>
  </si>
  <si>
    <t>Valor Dia 0</t>
  </si>
  <si>
    <t>Miguel Bañuz</t>
  </si>
  <si>
    <t>Eric Puerto</t>
  </si>
  <si>
    <t>Redruello</t>
  </si>
  <si>
    <t>Mario García</t>
  </si>
  <si>
    <t>Javi Sánchez</t>
  </si>
  <si>
    <t>Matos</t>
  </si>
  <si>
    <t>Astigarraga</t>
  </si>
  <si>
    <t>Roberto López</t>
  </si>
  <si>
    <t>Théo Le Normand</t>
  </si>
  <si>
    <t>Lucas Robertone</t>
  </si>
  <si>
    <t>Rafa Rodríguez</t>
  </si>
  <si>
    <t>Nick Markanich</t>
  </si>
  <si>
    <t>Cristian Herrera</t>
  </si>
  <si>
    <t>Aitor Uzkudun</t>
  </si>
  <si>
    <t>Jugador</t>
  </si>
  <si>
    <t>ID</t>
  </si>
  <si>
    <t>Villalibre</t>
  </si>
  <si>
    <t>César Gelabert</t>
  </si>
  <si>
    <t>Amath</t>
  </si>
  <si>
    <t>Enrique Clemente</t>
  </si>
  <si>
    <t>Léo Baptistão</t>
  </si>
  <si>
    <t>Jonathan Dubasin</t>
  </si>
  <si>
    <t>Mario Soriano</t>
  </si>
  <si>
    <t>Curro</t>
  </si>
  <si>
    <t>Álex Pastor</t>
  </si>
  <si>
    <t>Sergio Arribas</t>
  </si>
  <si>
    <t>Juan Otero</t>
  </si>
  <si>
    <t>Embarba</t>
  </si>
  <si>
    <t>Rúben Yáñez</t>
  </si>
  <si>
    <t>Lautaro de León</t>
  </si>
  <si>
    <t>Lucas Perrin</t>
  </si>
  <si>
    <t>Pablo Vázquez</t>
  </si>
  <si>
    <t>Guille Bueno</t>
  </si>
  <si>
    <t>Job Ochieng</t>
  </si>
  <si>
    <t>Óscar Sielva</t>
  </si>
  <si>
    <t>Dion Lopy</t>
  </si>
  <si>
    <t>José Corpas</t>
  </si>
  <si>
    <t>Luken Beitia</t>
  </si>
  <si>
    <t>Alberto Dadie</t>
  </si>
  <si>
    <t>Jacobo González</t>
  </si>
  <si>
    <t>Israel Suero</t>
  </si>
  <si>
    <t>Ivan Chapela</t>
  </si>
  <si>
    <t>Amir Abedzadeh</t>
  </si>
  <si>
    <t>Carlos Hernández</t>
  </si>
  <si>
    <t>José Gragera</t>
  </si>
  <si>
    <t>Adrián Niño</t>
  </si>
  <si>
    <t>Jokin Ezkieta</t>
  </si>
  <si>
    <t>Loureiro</t>
  </si>
  <si>
    <t>Ander Cantero</t>
  </si>
  <si>
    <t>Jon Guruzeta</t>
  </si>
  <si>
    <t>Jorge Salinas</t>
  </si>
  <si>
    <t>Charlie Patiño</t>
  </si>
  <si>
    <t>Iker Recio</t>
  </si>
  <si>
    <t>Gorka Gorosabel</t>
  </si>
  <si>
    <t>Marino Illescas</t>
  </si>
  <si>
    <t>Guille Rosas</t>
  </si>
  <si>
    <t>Rubén Peña</t>
  </si>
  <si>
    <t>Jeremía Recoba</t>
  </si>
  <si>
    <t>Bojan Kovacevic</t>
  </si>
  <si>
    <t>Sergio Ruiz</t>
  </si>
  <si>
    <t>Gerenabarrena</t>
  </si>
  <si>
    <t>Marco Moreno</t>
  </si>
  <si>
    <t>Ismael Barea</t>
  </si>
  <si>
    <t>Javi Villar</t>
  </si>
  <si>
    <t>Diego Collado</t>
  </si>
  <si>
    <t>Adrián Fuentes</t>
  </si>
  <si>
    <t>Diego Garcia</t>
  </si>
  <si>
    <t>Seydouba Cisse</t>
  </si>
  <si>
    <t>Jérémy Mellot</t>
  </si>
  <si>
    <t>Dinko Horkas</t>
  </si>
  <si>
    <t>Joaquín Muñoz</t>
  </si>
  <si>
    <t>Sergio Álvarez</t>
  </si>
  <si>
    <t>Thiago Ojeda</t>
  </si>
  <si>
    <t>Gonzalo Aguilar</t>
  </si>
  <si>
    <t>Daniel Ojeda</t>
  </si>
  <si>
    <t>Germán Parreño</t>
  </si>
  <si>
    <t>Toni Tamarit</t>
  </si>
  <si>
    <t>Ugiagbe</t>
  </si>
  <si>
    <t>Luismi Cruz</t>
  </si>
  <si>
    <t>Francho Serrano</t>
  </si>
  <si>
    <t>Sergi Guardiola</t>
  </si>
  <si>
    <t>Jorge Sáenz</t>
  </si>
  <si>
    <t>Manuel Nieto</t>
  </si>
  <si>
    <t>Tomy Carbonell</t>
  </si>
  <si>
    <t>Mario Soberón</t>
  </si>
  <si>
    <t>Amadou Diawara</t>
  </si>
  <si>
    <t>Federico Bonini</t>
  </si>
  <si>
    <t>Diego Mariño</t>
  </si>
  <si>
    <t>Álex Muñoz</t>
  </si>
  <si>
    <t>Marvin Park</t>
  </si>
  <si>
    <t>Carlos Isaac</t>
  </si>
  <si>
    <t>Dani Gómez</t>
  </si>
  <si>
    <t>Franck Fomeyem</t>
  </si>
  <si>
    <t>Kévin Appin</t>
  </si>
  <si>
    <t>Salva Ruiz</t>
  </si>
  <si>
    <t>Almenara</t>
  </si>
  <si>
    <t>Álvaro Carrillo</t>
  </si>
  <si>
    <t>Edward Cedeño</t>
  </si>
  <si>
    <t>Trilli</t>
  </si>
  <si>
    <t>Serpeta</t>
  </si>
  <si>
    <t>Olabarrieta</t>
  </si>
  <si>
    <t>Patrick Soko</t>
  </si>
  <si>
    <t>Carracedo</t>
  </si>
  <si>
    <t>Igor Nikic</t>
  </si>
  <si>
    <t>Enzo Loiodice</t>
  </si>
  <si>
    <t>Youssouf Diarra</t>
  </si>
  <si>
    <t>Paraschiv</t>
  </si>
  <si>
    <t>Yann Bodiger</t>
  </si>
  <si>
    <t>Samuel Ntamack</t>
  </si>
  <si>
    <t>Iván Calero</t>
  </si>
  <si>
    <t>Aritz Arambarri</t>
  </si>
  <si>
    <t>Diego Barri</t>
  </si>
  <si>
    <t>Kuki Zalazar</t>
  </si>
  <si>
    <t>Dani Lorenzo</t>
  </si>
  <si>
    <t>Aketxe</t>
  </si>
  <si>
    <t>Chupete</t>
  </si>
  <si>
    <t>Cristian Gutiérrez</t>
  </si>
  <si>
    <t>Kevin Villodres</t>
  </si>
  <si>
    <t>Juanto Ortuño</t>
  </si>
  <si>
    <t>Dani Sánchez</t>
  </si>
  <si>
    <t>Carlos Fernández</t>
  </si>
  <si>
    <t>Juan Sebastián</t>
  </si>
  <si>
    <t>Stoichkov</t>
  </si>
  <si>
    <t>Álex Suárez</t>
  </si>
  <si>
    <t>Óscar Plano</t>
  </si>
  <si>
    <t>Dani Tasende</t>
  </si>
  <si>
    <t>Luca Zidane</t>
  </si>
  <si>
    <t>Michelin</t>
  </si>
  <si>
    <t>Chumi</t>
  </si>
  <si>
    <t>Luismi</t>
  </si>
  <si>
    <t>Roger</t>
  </si>
  <si>
    <t>Thiago Helguera</t>
  </si>
  <si>
    <t>Julen Lobete</t>
  </si>
  <si>
    <t>Pauwels</t>
  </si>
  <si>
    <t>Baïla Diallo</t>
  </si>
  <si>
    <t>Nikitscher</t>
  </si>
  <si>
    <t>Justin Smith</t>
  </si>
  <si>
    <t>Andy Escudero</t>
  </si>
  <si>
    <t>Obolskiy</t>
  </si>
  <si>
    <t>Pablo Santiago</t>
  </si>
  <si>
    <t>Martín Pascual</t>
  </si>
  <si>
    <t>Xeber Alkain</t>
  </si>
  <si>
    <t>Amadou Coundoul</t>
  </si>
  <si>
    <t>Enol Rodríguez</t>
  </si>
  <si>
    <t>Eceizabarrena</t>
  </si>
  <si>
    <t>Dani Díaz</t>
  </si>
  <si>
    <t>Diego Aznar</t>
  </si>
  <si>
    <t>Ibrahim Alani</t>
  </si>
  <si>
    <t>Jesús Vallejo</t>
  </si>
  <si>
    <t>Álex Fernández</t>
  </si>
  <si>
    <t>Brignani</t>
  </si>
  <si>
    <t>Álex Millán</t>
  </si>
  <si>
    <t>Ignasi Miquel</t>
  </si>
  <si>
    <t>Mariezkurrena</t>
  </si>
  <si>
    <t>Toni Moya</t>
  </si>
  <si>
    <t>Antonio Pacheco</t>
  </si>
  <si>
    <t>Aarón Martin</t>
  </si>
  <si>
    <t>Lázaro</t>
  </si>
  <si>
    <t>Kenneth Mamah</t>
  </si>
  <si>
    <t>Juan María Alcedo</t>
  </si>
  <si>
    <t>Pejiño</t>
  </si>
  <si>
    <t>Álex Petxa</t>
  </si>
  <si>
    <t>Iker Varela</t>
  </si>
  <si>
    <t>Manu Vallejo</t>
  </si>
  <si>
    <t>Carlos Guirao</t>
  </si>
  <si>
    <t>Aisar Ahmed</t>
  </si>
  <si>
    <t>Guzmán Ortega</t>
  </si>
  <si>
    <t>Pierre Mbemba</t>
  </si>
  <si>
    <t>Daijiro Chirino</t>
  </si>
  <si>
    <t>Sergio Ortuño</t>
  </si>
  <si>
    <t>Gonzalo Petit</t>
  </si>
  <si>
    <t>Álex Centelles</t>
  </si>
  <si>
    <t>Valery Fernández</t>
  </si>
  <si>
    <t>Albarrán</t>
  </si>
  <si>
    <t>Álvaro Mantilla</t>
  </si>
  <si>
    <t>Jon García</t>
  </si>
  <si>
    <t>Jordy Caicedo</t>
  </si>
  <si>
    <t>Dani Queipo</t>
  </si>
  <si>
    <t>Kialy Kone</t>
  </si>
  <si>
    <t>Óscar Gil</t>
  </si>
  <si>
    <t>Mario Maroto</t>
  </si>
  <si>
    <t>Sandro Ramírez</t>
  </si>
  <si>
    <t>Daniel Bachmann</t>
  </si>
  <si>
    <t>Juan Cruz</t>
  </si>
  <si>
    <t>Julien Ponceau</t>
  </si>
  <si>
    <t>Viti</t>
  </si>
  <si>
    <t>Jesé</t>
  </si>
  <si>
    <t>Enric Franquesa</t>
  </si>
  <si>
    <t>Edgar González</t>
  </si>
  <si>
    <t>Mamadou Loum</t>
  </si>
  <si>
    <t>Lucas Noubi</t>
  </si>
  <si>
    <t>Víctor Mollejo</t>
  </si>
  <si>
    <t>Maguette Gueye</t>
  </si>
  <si>
    <t>Loic Williams</t>
  </si>
  <si>
    <t>Tachi</t>
  </si>
  <si>
    <t>Romain Matthys</t>
  </si>
  <si>
    <t>Dalisson</t>
  </si>
  <si>
    <t>David Gil</t>
  </si>
  <si>
    <t>Mata</t>
  </si>
  <si>
    <t>Luís Maximiano</t>
  </si>
  <si>
    <t>Radovanovic</t>
  </si>
  <si>
    <t>Jauregi</t>
  </si>
  <si>
    <t>Rubén Sobrino</t>
  </si>
  <si>
    <t>Jon Balda</t>
  </si>
  <si>
    <t>Sergio Postigo</t>
  </si>
  <si>
    <t>Pepe Sanchez</t>
  </si>
  <si>
    <t>Figueredo</t>
  </si>
  <si>
    <t>Luis Hernández</t>
  </si>
  <si>
    <t>Fali</t>
  </si>
  <si>
    <t>Rubén Díez</t>
  </si>
  <si>
    <t>Diego Bri</t>
  </si>
  <si>
    <t>Toni Villa</t>
  </si>
  <si>
    <t>Adilson</t>
  </si>
  <si>
    <t>Sebastian Kosa</t>
  </si>
  <si>
    <t>Denis Genreau</t>
  </si>
  <si>
    <t>Lucas Alcázar</t>
  </si>
  <si>
    <t>Ander Madariaga</t>
  </si>
  <si>
    <t>Manu Sánchez</t>
  </si>
  <si>
    <t>Marcelo Expósito</t>
  </si>
  <si>
    <t>Aurélio</t>
  </si>
  <si>
    <t>Ángel Pérez</t>
  </si>
  <si>
    <t>Diego Alende</t>
  </si>
  <si>
    <t>Sydney Osazuwa</t>
  </si>
  <si>
    <t>Joel Sanchez</t>
  </si>
  <si>
    <t>Álex Calvo</t>
  </si>
  <si>
    <t>Rubén López</t>
  </si>
  <si>
    <t>Ander Martín</t>
  </si>
  <si>
    <t>Javier Mier</t>
  </si>
  <si>
    <t>Adrián Arnu</t>
  </si>
  <si>
    <t>Josep Cerdà</t>
  </si>
  <si>
    <t>Sinan Bakis</t>
  </si>
  <si>
    <t>Sory Kaba</t>
  </si>
  <si>
    <t>Mario Cantero</t>
  </si>
  <si>
    <t>Jesús Bernal</t>
  </si>
  <si>
    <t>Hugo Pérez</t>
  </si>
  <si>
    <t>Álvaro Martín</t>
  </si>
  <si>
    <t>Rubén Pulido</t>
  </si>
  <si>
    <t>Erik Morán</t>
  </si>
  <si>
    <t>Álvaro Aceves</t>
  </si>
  <si>
    <t>Ander Astralaga</t>
  </si>
  <si>
    <t>Jordi Martín</t>
  </si>
  <si>
    <t>Carlos López</t>
  </si>
  <si>
    <t>Darío Ramírez</t>
  </si>
  <si>
    <t>Manu Rico</t>
  </si>
  <si>
    <t>Marciano Sanca</t>
  </si>
  <si>
    <t>Diego Gómez</t>
  </si>
  <si>
    <t>Albert Caparrós</t>
  </si>
  <si>
    <t>Stefan Dzodic</t>
  </si>
  <si>
    <t>Luis López</t>
  </si>
  <si>
    <t>Adam Arvelo</t>
  </si>
  <si>
    <t>Alex Marchal</t>
  </si>
  <si>
    <t>Jorge Delgado</t>
  </si>
  <si>
    <t>Adri Suárez</t>
  </si>
  <si>
    <t>David García</t>
  </si>
  <si>
    <t>Arnau Rafús</t>
  </si>
  <si>
    <t>Andrés Campos</t>
  </si>
  <si>
    <t>Miguel San Román</t>
  </si>
  <si>
    <t>Álex Oyón</t>
  </si>
  <si>
    <t>Haitam Abaida</t>
  </si>
  <si>
    <t>Francisco Mwepu</t>
  </si>
  <si>
    <t>Taufek Bayoud</t>
  </si>
  <si>
    <t>Pomares</t>
  </si>
  <si>
    <t>Eneko Satrústegui</t>
  </si>
  <si>
    <t>Yago Cantero</t>
  </si>
  <si>
    <t>Manu Lama</t>
  </si>
  <si>
    <t>Alberto Jiménez</t>
  </si>
  <si>
    <t>Buscar Jugador:</t>
  </si>
  <si>
    <t>Clausula:</t>
  </si>
  <si>
    <t>Fichajes</t>
  </si>
  <si>
    <t>Clausula</t>
  </si>
  <si>
    <t>Usuario</t>
  </si>
  <si>
    <t>Clausula Final</t>
  </si>
  <si>
    <t>Repetido?</t>
  </si>
  <si>
    <t>Cachoneros</t>
  </si>
  <si>
    <t>Guacamayos</t>
  </si>
  <si>
    <t>Real Garruchos</t>
  </si>
  <si>
    <t>Steaua de grifo</t>
  </si>
  <si>
    <t>Mompia FC</t>
  </si>
  <si>
    <t>La Piñera</t>
  </si>
  <si>
    <t>Llaule</t>
  </si>
  <si>
    <t>Fuera de la Liga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</si>
</sst>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Liberation Sans"/>
      <family val="2"/>
    </font>
    <font>
      <sz val="10"/>
      <color rgb="FF000000"/>
      <name val="Liberation Sans"/>
      <family val="2"/>
    </font>
    <font>
      <b/>
      <sz val="10"/>
      <color rgb="FF000000"/>
      <name val="Liberation Sans"/>
      <family val="2"/>
    </font>
    <font>
      <b/>
      <sz val="10"/>
      <color rgb="FFFFFFFF"/>
      <name val="Liberation Sans"/>
      <family val="2"/>
    </font>
    <font>
      <sz val="10"/>
      <color rgb="FFCC0000"/>
      <name val="Liberation Sans"/>
      <family val="2"/>
    </font>
    <font>
      <sz val="11"/>
      <color rgb="FF000000"/>
      <name val="Aptos Narrow"/>
      <family val="2"/>
    </font>
    <font>
      <i/>
      <sz val="10"/>
      <color rgb="FF808080"/>
      <name val="Liberation Sans"/>
      <family val="2"/>
    </font>
    <font>
      <sz val="10"/>
      <color rgb="FF006600"/>
      <name val="Liberation Sans"/>
      <family val="2"/>
    </font>
    <font>
      <b/>
      <sz val="24"/>
      <color rgb="FF000000"/>
      <name val="Liberation Sans"/>
      <family val="2"/>
    </font>
    <font>
      <b/>
      <sz val="18"/>
      <color rgb="FF000000"/>
      <name val="Liberation Sans"/>
      <family val="2"/>
    </font>
    <font>
      <b/>
      <sz val="12"/>
      <color rgb="FF000000"/>
      <name val="Liberation Sans"/>
      <family val="2"/>
    </font>
    <font>
      <u/>
      <sz val="10"/>
      <color rgb="FF0000EE"/>
      <name val="Liberation Sans"/>
      <family val="2"/>
    </font>
    <font>
      <sz val="10"/>
      <color rgb="FF333333"/>
      <name val="Liberation Sans"/>
      <family val="2"/>
    </font>
    <font>
      <b/>
      <i/>
      <u/>
      <sz val="10"/>
      <color rgb="FF000000"/>
      <name val="Liberation Sans"/>
      <family val="2"/>
    </font>
    <font>
      <i/>
      <sz val="12"/>
      <color rgb="FF000000"/>
      <name val="Liberation Sans"/>
      <family val="2"/>
    </font>
    <font>
      <b/>
      <sz val="10"/>
      <color rgb="FF000000"/>
      <name val="Liberation Serif"/>
      <family val="1"/>
    </font>
    <font>
      <sz val="10"/>
      <color rgb="FF000000"/>
      <name val="Liberation Serif"/>
      <family val="1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9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0" borderId="0"/>
    <xf numFmtId="0" fontId="3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9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3" fontId="0" fillId="0" borderId="0" xfId="0" applyNumberFormat="1"/>
    <xf numFmtId="14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wrapText="1"/>
    </xf>
    <xf numFmtId="0" fontId="14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3" fontId="14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 wrapText="1"/>
    </xf>
    <xf numFmtId="0" fontId="2" fillId="0" borderId="0" xfId="0" applyFont="1"/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horizontal="right"/>
    </xf>
    <xf numFmtId="0" fontId="0" fillId="0" borderId="0" xfId="0" applyAlignment="1">
      <alignment vertical="center"/>
    </xf>
    <xf numFmtId="3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vertical="center"/>
    </xf>
    <xf numFmtId="3" fontId="16" fillId="9" borderId="2" xfId="0" applyNumberFormat="1" applyFont="1" applyFill="1" applyBorder="1" applyAlignment="1">
      <alignment horizontal="center" wrapText="1"/>
    </xf>
    <xf numFmtId="3" fontId="2" fillId="9" borderId="3" xfId="0" applyNumberFormat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3" fontId="2" fillId="0" borderId="0" xfId="0" applyNumberFormat="1" applyFont="1" applyAlignment="1">
      <alignment wrapText="1"/>
    </xf>
    <xf numFmtId="3" fontId="2" fillId="0" borderId="0" xfId="0" applyNumberFormat="1" applyFont="1"/>
    <xf numFmtId="3" fontId="16" fillId="0" borderId="0" xfId="0" applyNumberFormat="1" applyFont="1" applyAlignment="1">
      <alignment wrapText="1"/>
    </xf>
  </cellXfs>
  <cellStyles count="19">
    <cellStyle name="Accent" xfId="1" xr:uid="{00000000-0005-0000-0000-000001000000}"/>
    <cellStyle name="Accent 1" xfId="2" xr:uid="{00000000-0005-0000-0000-000002000000}"/>
    <cellStyle name="Accent 2" xfId="3" xr:uid="{00000000-0005-0000-0000-000003000000}"/>
    <cellStyle name="Accent 3" xfId="4" xr:uid="{00000000-0005-0000-0000-000004000000}"/>
    <cellStyle name="Bad" xfId="5" xr:uid="{00000000-0005-0000-0000-000005000000}"/>
    <cellStyle name="Default" xfId="6" xr:uid="{00000000-0005-0000-0000-000006000000}"/>
    <cellStyle name="Error" xfId="7" xr:uid="{00000000-0005-0000-0000-000007000000}"/>
    <cellStyle name="Footnote" xfId="8" xr:uid="{00000000-0005-0000-0000-000008000000}"/>
    <cellStyle name="Good" xfId="9" xr:uid="{00000000-0005-0000-0000-000009000000}"/>
    <cellStyle name="Heading" xfId="10" xr:uid="{00000000-0005-0000-0000-00000A000000}"/>
    <cellStyle name="Heading 1" xfId="11" xr:uid="{00000000-0005-0000-0000-00000B000000}"/>
    <cellStyle name="Heading 2" xfId="12" xr:uid="{00000000-0005-0000-0000-00000C000000}"/>
    <cellStyle name="Hyperlink" xfId="13" xr:uid="{00000000-0005-0000-0000-00000D000000}"/>
    <cellStyle name="Normal" xfId="0" builtinId="0"/>
    <cellStyle name="Note" xfId="14" xr:uid="{00000000-0005-0000-0000-00000E000000}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1">
    <dxf>
      <font>
        <b/>
        <strike val="0"/>
        <condense val="0"/>
        <extend val="0"/>
        <outline val="0"/>
        <shadow val="0"/>
        <vertAlign val="baseline"/>
        <sz val="10"/>
        <color rgb="FF000000"/>
        <name val="Liberation Sans"/>
        <family val="2"/>
      </font>
      <numFmt numFmtId="3" formatCode="#,##0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610" displayName="Tabla1610" ref="C1:D14" totalsRowShown="0">
  <autoFilter ref="C1:D14" xr:uid="{00000000-0009-0000-0100-000001000000}"/>
  <tableColumns count="2">
    <tableColumn id="1" xr3:uid="{00000000-0010-0000-0000-000001000000}" name="Altas"/>
    <tableColumn id="2" xr3:uid="{00000000-0010-0000-0000-000002000000}" name="Gastad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711" displayName="Tabla2711" ref="E1:F18" totalsRowShown="0">
  <autoFilter ref="E1:F18" xr:uid="{00000000-0009-0000-0100-000002000000}"/>
  <tableColumns count="2">
    <tableColumn id="1" xr3:uid="{00000000-0010-0000-0100-000001000000}" name="Bajas"/>
    <tableColumn id="2" xr3:uid="{00000000-0010-0000-0100-000002000000}" name="Ingresado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JRGuaca" displayName="BJRGuaca" ref="I1:I7" totalsRowShown="0">
  <autoFilter ref="I1:I7" xr:uid="{00000000-0009-0000-0100-000003000000}"/>
  <tableColumns count="1">
    <tableColumn id="1" xr3:uid="{00000000-0010-0000-0200-000001000000}" name="Beneficio J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1" displayName="Tabla1" ref="C1:D14" totalsRowShown="0">
  <autoFilter ref="C1:D14" xr:uid="{00000000-0009-0000-0100-000004000000}"/>
  <tableColumns count="2">
    <tableColumn id="1" xr3:uid="{00000000-0010-0000-0300-000001000000}" name="Altas"/>
    <tableColumn id="2" xr3:uid="{00000000-0010-0000-0300-000002000000}" name="Gastad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271112" displayName="Tabla271112" ref="E1:F17" totalsRowShown="0">
  <autoFilter ref="E1:F17" xr:uid="{00000000-0009-0000-0100-000005000000}"/>
  <tableColumns count="2">
    <tableColumn id="1" xr3:uid="{00000000-0010-0000-0400-000001000000}" name="Bajas"/>
    <tableColumn id="2" xr3:uid="{00000000-0010-0000-0400-000002000000}" name="Ingresad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BJManu" displayName="BJManu" ref="I1:I7" totalsRowShown="0">
  <autoFilter ref="I1:I7" xr:uid="{00000000-0009-0000-0100-000006000000}"/>
  <tableColumns count="1">
    <tableColumn id="1" xr3:uid="{00000000-0010-0000-0500-000001000000}" name="Beneficio J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Ventas" displayName="Ventas" ref="C1:D27" totalsRowShown="0">
  <autoFilter ref="C1:D27" xr:uid="{00000000-0009-0000-0100-000007000000}"/>
  <tableColumns count="2">
    <tableColumn id="1" xr3:uid="{00000000-0010-0000-0600-000001000000}" name="Bajas"/>
    <tableColumn id="2" xr3:uid="{00000000-0010-0000-0600-000002000000}" name="Ingresos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mpras" displayName="Compras" ref="A1:B32" totalsRowShown="0">
  <autoFilter ref="A1:B32" xr:uid="{00000000-0009-0000-0100-000008000000}"/>
  <tableColumns count="2">
    <tableColumn id="1" xr3:uid="{00000000-0010-0000-0700-000001000000}" name="Altas"/>
    <tableColumn id="2" xr3:uid="{00000000-0010-0000-0700-000002000000}" name="Pérdida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BJLlaule" displayName="BJLlaule" ref="G1:G43" totalsRowShown="0">
  <autoFilter ref="G1:G43" xr:uid="{00000000-0009-0000-0100-000009000000}"/>
  <tableColumns count="1">
    <tableColumn id="1" xr3:uid="{00000000-0010-0000-0800-000001000000}" name="Beneficio J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a11520" displayName="Tabla11520" ref="C1:D17" totalsRowShown="0">
  <autoFilter ref="C1:D17" xr:uid="{00000000-0009-0000-0100-00000A000000}"/>
  <tableColumns count="2">
    <tableColumn id="1" xr3:uid="{00000000-0010-0000-0900-000001000000}" name="Altas"/>
    <tableColumn id="2" xr3:uid="{00000000-0010-0000-0900-000002000000}" name="Gastad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a2711121621" displayName="Tabla2711121621" ref="E1:F18" totalsRowShown="0">
  <autoFilter ref="E1:F18" xr:uid="{00000000-0009-0000-0100-00000B000000}"/>
  <tableColumns count="2">
    <tableColumn id="1" xr3:uid="{00000000-0010-0000-0A00-000001000000}" name="Bajas"/>
    <tableColumn id="2" xr3:uid="{00000000-0010-0000-0A00-000002000000}" name="Ingresad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BJBerto" displayName="BJBerto" ref="I1:I7" totalsRowShown="0">
  <autoFilter ref="I1:I7" xr:uid="{00000000-0009-0000-0100-00000C000000}"/>
  <tableColumns count="1">
    <tableColumn id="1" xr3:uid="{00000000-0010-0000-0B00-000001000000}" name="Benefici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a1152017" displayName="Tabla1152017" ref="C1:D22" totalsRowShown="0">
  <autoFilter ref="C1:D22" xr:uid="{00000000-0009-0000-0100-00000D000000}"/>
  <tableColumns count="2">
    <tableColumn id="1" xr3:uid="{00000000-0010-0000-0C00-000001000000}" name="Altas"/>
    <tableColumn id="2" xr3:uid="{00000000-0010-0000-0C00-000002000000}" name="Gastado" dataDxfId="0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a271112162118" displayName="Tabla271112162118" ref="E1:F27" totalsRowShown="0">
  <autoFilter ref="E1:F27" xr:uid="{00000000-0009-0000-0100-00000E000000}"/>
  <tableColumns count="2">
    <tableColumn id="1" xr3:uid="{00000000-0010-0000-0D00-000001000000}" name="Bajas"/>
    <tableColumn id="2" xr3:uid="{00000000-0010-0000-0D00-000002000000}" name="Ingresado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BJMompia" displayName="BJMompia" ref="I1:I7" totalsRowShown="0">
  <autoFilter ref="I1:I7" xr:uid="{00000000-0009-0000-0100-00000F000000}"/>
  <tableColumns count="1">
    <tableColumn id="1" xr3:uid="{00000000-0010-0000-0E00-000001000000}" name="Beneficio J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a1152019" displayName="Tabla1152019" ref="C1:D19" totalsRowShown="0">
  <autoFilter ref="C1:D19" xr:uid="{00000000-0009-0000-0100-000010000000}"/>
  <tableColumns count="2">
    <tableColumn id="1" xr3:uid="{00000000-0010-0000-0F00-000001000000}" name="Altas"/>
    <tableColumn id="2" xr3:uid="{00000000-0010-0000-0F00-000002000000}" name="Gastado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a271112162120" displayName="Tabla271112162120" ref="E1:F22" totalsRowShown="0">
  <autoFilter ref="E1:F22" xr:uid="{00000000-0009-0000-0100-000011000000}"/>
  <tableColumns count="2">
    <tableColumn id="1" xr3:uid="{00000000-0010-0000-1000-000001000000}" name="Bajas"/>
    <tableColumn id="2" xr3:uid="{00000000-0010-0000-1000-000002000000}" name="Ingresado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BJRMarco" displayName="BJRMarco" ref="I1:I7" totalsRowShown="0">
  <autoFilter ref="I1:I7" xr:uid="{00000000-0009-0000-0100-000012000000}"/>
  <tableColumns count="1">
    <tableColumn id="1" xr3:uid="{00000000-0010-0000-1100-000001000000}" name="Beneficio J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a11831" displayName="Tabla11831" ref="C1:D10" totalsRowShown="0">
  <autoFilter ref="C1:D10" xr:uid="{00000000-0009-0000-0100-000013000000}"/>
  <tableColumns count="2">
    <tableColumn id="1" xr3:uid="{00000000-0010-0000-1200-000001000000}" name="Altas"/>
    <tableColumn id="2" xr3:uid="{00000000-0010-0000-1200-000002000000}" name="Gastado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a2711121932" displayName="Tabla2711121932" ref="E1:F14" totalsRowShown="0">
  <autoFilter ref="E1:F14" xr:uid="{00000000-0009-0000-0100-000014000000}"/>
  <tableColumns count="2">
    <tableColumn id="1" xr3:uid="{00000000-0010-0000-1300-000001000000}" name="Bajas"/>
    <tableColumn id="2" xr3:uid="{00000000-0010-0000-1300-000002000000}" name="Ingresado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BJLabaro33" displayName="BJLabaro33" ref="I1:I5" totalsRowShown="0">
  <autoFilter ref="I1:I5" xr:uid="{00000000-0009-0000-0100-000015000000}"/>
  <tableColumns count="1">
    <tableColumn id="1" xr3:uid="{00000000-0010-0000-1400-000001000000}" name="Beneficio J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a118" displayName="Tabla118" ref="C1:D2" totalsRowShown="0">
  <autoFilter ref="C1:D2" xr:uid="{00000000-0009-0000-0100-000016000000}"/>
  <tableColumns count="2">
    <tableColumn id="1" xr3:uid="{00000000-0010-0000-1500-000001000000}" name="Altas"/>
    <tableColumn id="2" xr3:uid="{00000000-0010-0000-1500-000002000000}" name="Gastado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a27111219" displayName="Tabla27111219" ref="E1:F2" totalsRowShown="0">
  <autoFilter ref="E1:F2" xr:uid="{00000000-0009-0000-0100-000017000000}"/>
  <tableColumns count="2">
    <tableColumn id="1" xr3:uid="{00000000-0010-0000-1600-000001000000}" name="Bajas"/>
    <tableColumn id="2" xr3:uid="{00000000-0010-0000-1600-000002000000}" name="Ingresado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BJLabaro" displayName="BJLabaro" ref="I1:I7" totalsRowShown="0">
  <autoFilter ref="I1:I7" xr:uid="{00000000-0009-0000-0100-000018000000}"/>
  <tableColumns count="1">
    <tableColumn id="1" xr3:uid="{00000000-0010-0000-1700-000001000000}" name="Beneficio J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a1183437" displayName="Tabla1183437" ref="C1:D11" totalsRowShown="0">
  <autoFilter ref="C1:D11" xr:uid="{00000000-0009-0000-0100-000019000000}"/>
  <tableColumns count="2">
    <tableColumn id="1" xr3:uid="{00000000-0010-0000-1800-000001000000}" name="Altas"/>
    <tableColumn id="2" xr3:uid="{00000000-0010-0000-1800-000002000000}" name="Gastado"/>
  </tableColumns>
  <tableStyleInfo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a271112193538" displayName="Tabla271112193538" ref="E1:F10" totalsRowShown="0">
  <autoFilter ref="E1:F10" xr:uid="{00000000-0009-0000-0100-00001A000000}"/>
  <tableColumns count="2">
    <tableColumn id="1" xr3:uid="{00000000-0010-0000-1900-000001000000}" name="Bajas"/>
    <tableColumn id="2" xr3:uid="{00000000-0010-0000-1900-000002000000}" name="Ingresado"/>
  </tableColumns>
  <tableStyleInfo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BJCacafuti" displayName="BJCacafuti" ref="I1:I7" totalsRowShown="0">
  <autoFilter ref="I1:I7" xr:uid="{00000000-0009-0000-0100-00001B000000}"/>
  <tableColumns count="1">
    <tableColumn id="1" xr3:uid="{00000000-0010-0000-1A00-000001000000}" name="Beneficio J"/>
  </tableColumns>
  <tableStyleInfo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a11834" displayName="Tabla11834" ref="C1:D14" totalsRowShown="0">
  <autoFilter ref="C1:D14" xr:uid="{00000000-0009-0000-0100-00001C000000}"/>
  <tableColumns count="2">
    <tableColumn id="1" xr3:uid="{00000000-0010-0000-1B00-000001000000}" name="Altas"/>
    <tableColumn id="2" xr3:uid="{00000000-0010-0000-1B00-000002000000}" name="Gastado"/>
  </tableColumns>
  <tableStyleInfo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a2711121935" displayName="Tabla2711121935" ref="E1:F20" totalsRowShown="0">
  <autoFilter ref="E1:F20" xr:uid="{00000000-0009-0000-0100-00001D000000}"/>
  <tableColumns count="2">
    <tableColumn id="1" xr3:uid="{00000000-0010-0000-1C00-000001000000}" name="Bajas"/>
    <tableColumn id="2" xr3:uid="{00000000-0010-0000-1C00-000002000000}" name="Ingresado"/>
  </tableColumns>
  <tableStyleInfo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BJLabaro36" displayName="BJLabaro36" ref="I1:I7" totalsRowShown="0">
  <autoFilter ref="I1:I7" xr:uid="{00000000-0009-0000-0100-00001E000000}"/>
  <tableColumns count="1">
    <tableColumn id="1" xr3:uid="{00000000-0010-0000-1D00-000001000000}" name="Beneficio J"/>
  </tableColumns>
  <tableStyleInfo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a115" displayName="Tabla115" ref="C1:D22" totalsRowShown="0">
  <autoFilter ref="C1:D22" xr:uid="{00000000-0009-0000-0100-00001F000000}"/>
  <tableColumns count="2">
    <tableColumn id="1" xr3:uid="{00000000-0010-0000-1E00-000001000000}" name="Altas"/>
    <tableColumn id="2" xr3:uid="{00000000-0010-0000-1E00-000002000000}" name="Gastado"/>
  </tableColumns>
  <tableStyleInfo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a27111216" displayName="Tabla27111216" ref="E1:F26" totalsRowShown="0">
  <autoFilter ref="E1:F26" xr:uid="{00000000-0009-0000-0100-000020000000}"/>
  <tableColumns count="2">
    <tableColumn id="1" xr3:uid="{00000000-0010-0000-1F00-000001000000}" name="Bajas"/>
    <tableColumn id="2" xr3:uid="{00000000-0010-0000-1F00-000002000000}" name="Ingresado"/>
  </tableColumns>
  <tableStyleInfo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a17" displayName="Tabla17" ref="A1:B16" totalsRowShown="0">
  <autoFilter ref="A1:B16" xr:uid="{00000000-0009-0000-0100-000021000000}"/>
  <tableColumns count="2">
    <tableColumn id="1" xr3:uid="{00000000-0010-0000-2000-000001000000}" name="Jugadores"/>
    <tableColumn id="2" xr3:uid="{00000000-0010-0000-2000-000002000000}" name="Valor dia 0"/>
  </tableColumns>
  <tableStyleInfo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BJSamuel" displayName="BJSamuel" ref="I1:I43" totalsRowShown="0">
  <autoFilter ref="I1:I43" xr:uid="{00000000-0009-0000-0100-000022000000}"/>
  <tableColumns count="1">
    <tableColumn id="1" xr3:uid="{00000000-0010-0000-2100-000001000000}" name="Beneficio"/>
  </tableColumns>
  <tableStyleInfo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a161013" displayName="Tabla161013" ref="C1:D2" totalsRowShown="0">
  <autoFilter ref="C1:D2" xr:uid="{00000000-0009-0000-0100-000023000000}"/>
  <tableColumns count="2">
    <tableColumn id="1" xr3:uid="{00000000-0010-0000-2200-000001000000}" name="Altas"/>
    <tableColumn id="2" xr3:uid="{00000000-0010-0000-2200-000002000000}" name="Gastado"/>
  </tableColumns>
  <tableStyleInfo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a271114" displayName="Tabla271114" ref="E1:F2" totalsRowShown="0">
  <autoFilter ref="E1:F2" xr:uid="{00000000-0009-0000-0100-000024000000}"/>
  <tableColumns count="2">
    <tableColumn id="1" xr3:uid="{00000000-0010-0000-2300-000001000000}" name="Bajas"/>
    <tableColumn id="2" xr3:uid="{00000000-0010-0000-2300-000002000000}" name="Ingresado"/>
  </tableColumns>
  <tableStyleInfo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BJRuben" displayName="BJRuben" ref="I1:I7" totalsRowShown="0">
  <autoFilter ref="I1:I7" xr:uid="{00000000-0009-0000-0100-000025000000}"/>
  <tableColumns count="1">
    <tableColumn id="1" xr3:uid="{00000000-0010-0000-2400-000001000000}" name="Beneficio J"/>
  </tableColumns>
  <tableStyleInfo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aClausulas" displayName="TablaClausulas" ref="A4:F46" totalsRowShown="0">
  <autoFilter ref="A4:F46" xr:uid="{00000000-0009-0000-0100-000026000000}"/>
  <tableColumns count="6">
    <tableColumn id="1" xr3:uid="{00000000-0010-0000-2500-000001000000}" name="Fichajes"/>
    <tableColumn id="2" xr3:uid="{00000000-0010-0000-2500-000002000000}" name="Clausula"/>
    <tableColumn id="3" xr3:uid="{00000000-0010-0000-2500-000003000000}" name="Usuario"/>
    <tableColumn id="4" xr3:uid="{00000000-0010-0000-2500-000004000000}" name="ID"/>
    <tableColumn id="5" xr3:uid="{00000000-0010-0000-2500-000005000000}" name="Clausula Final"/>
    <tableColumn id="6" xr3:uid="{00000000-0010-0000-2500-000006000000}" name="Repetido?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hyperlink" Target="https://biwenger.as.com/segunda-division/players/lander-olaetxea" TargetMode="Externa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biwenger.as.com/segunda-division/players/agus-medina" TargetMode="External"/><Relationship Id="rId13" Type="http://schemas.openxmlformats.org/officeDocument/2006/relationships/hyperlink" Target="https://biwenger.as.com/segunda-division/players/brian-ocampo" TargetMode="External"/><Relationship Id="rId18" Type="http://schemas.openxmlformats.org/officeDocument/2006/relationships/table" Target="../tables/table21.xml"/><Relationship Id="rId3" Type="http://schemas.openxmlformats.org/officeDocument/2006/relationships/hyperlink" Target="https://biwenger.as.com/segunda-division/players/fran-gamez" TargetMode="External"/><Relationship Id="rId7" Type="http://schemas.openxmlformats.org/officeDocument/2006/relationships/hyperlink" Target="https://biwenger.as.com/segunda-division/players/jokin-gabilondo" TargetMode="External"/><Relationship Id="rId12" Type="http://schemas.openxmlformats.org/officeDocument/2006/relationships/hyperlink" Target="https://biwenger.as.com/segunda-division/players/ronaldo" TargetMode="External"/><Relationship Id="rId17" Type="http://schemas.openxmlformats.org/officeDocument/2006/relationships/table" Target="../tables/table20.xml"/><Relationship Id="rId2" Type="http://schemas.openxmlformats.org/officeDocument/2006/relationships/hyperlink" Target="https://biwenger.as.com/segunda-division/players/jose-antonio-caro" TargetMode="External"/><Relationship Id="rId16" Type="http://schemas.openxmlformats.org/officeDocument/2006/relationships/table" Target="../tables/table19.xml"/><Relationship Id="rId1" Type="http://schemas.openxmlformats.org/officeDocument/2006/relationships/hyperlink" Target="https://biwenger.as.com/segunda-division/players/pedro-lopez-3" TargetMode="External"/><Relationship Id="rId6" Type="http://schemas.openxmlformats.org/officeDocument/2006/relationships/hyperlink" Target="https://biwenger.as.com/segunda-division/players/diego-gonzalez-2" TargetMode="External"/><Relationship Id="rId11" Type="http://schemas.openxmlformats.org/officeDocument/2006/relationships/hyperlink" Target="https://biwenger.as.com/segunda-division/players/jose-angel-jurado" TargetMode="External"/><Relationship Id="rId5" Type="http://schemas.openxmlformats.org/officeDocument/2006/relationships/hyperlink" Target="https://biwenger.as.com/segunda-division/players/thomas-carrique" TargetMode="External"/><Relationship Id="rId15" Type="http://schemas.openxmlformats.org/officeDocument/2006/relationships/hyperlink" Target="https://biwenger.as.com/segunda-division/players/shon-weissman" TargetMode="External"/><Relationship Id="rId10" Type="http://schemas.openxmlformats.org/officeDocument/2006/relationships/hyperlink" Target="https://biwenger.as.com/segunda-division/players/i-vilarrasa" TargetMode="External"/><Relationship Id="rId4" Type="http://schemas.openxmlformats.org/officeDocument/2006/relationships/hyperlink" Target="https://biwenger.as.com/segunda-division/players/i-garcia-de-albeniz" TargetMode="External"/><Relationship Id="rId9" Type="http://schemas.openxmlformats.org/officeDocument/2006/relationships/hyperlink" Target="https://biwenger.as.com/segunda-division/players/javi-martinez" TargetMode="External"/><Relationship Id="rId14" Type="http://schemas.openxmlformats.org/officeDocument/2006/relationships/hyperlink" Target="https://biwenger.as.com/segunda-division/players/souleymane-faye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biwenger.as.com/segunda-division/players/isma-ruiz" TargetMode="External"/><Relationship Id="rId13" Type="http://schemas.openxmlformats.org/officeDocument/2006/relationships/hyperlink" Target="https://biwenger.as.com/segunda-division/players/samed-bazdar" TargetMode="External"/><Relationship Id="rId18" Type="http://schemas.openxmlformats.org/officeDocument/2006/relationships/table" Target="../tables/table27.xml"/><Relationship Id="rId3" Type="http://schemas.openxmlformats.org/officeDocument/2006/relationships/hyperlink" Target="https://biwenger.as.com/segunda-division/players/carlos-puga" TargetMode="External"/><Relationship Id="rId7" Type="http://schemas.openxmlformats.org/officeDocument/2006/relationships/hyperlink" Target="https://biwenger.as.com/segunda-division/players/tincho-conde" TargetMode="External"/><Relationship Id="rId12" Type="http://schemas.openxmlformats.org/officeDocument/2006/relationships/hyperlink" Target="https://biwenger.as.com/segunda-division/players/j-gonzalez-2" TargetMode="External"/><Relationship Id="rId17" Type="http://schemas.openxmlformats.org/officeDocument/2006/relationships/table" Target="../tables/table26.xml"/><Relationship Id="rId2" Type="http://schemas.openxmlformats.org/officeDocument/2006/relationships/hyperlink" Target="https://biwenger.as.com/segunda-division/players/egoitz-arana" TargetMode="External"/><Relationship Id="rId16" Type="http://schemas.openxmlformats.org/officeDocument/2006/relationships/table" Target="../tables/table25.xml"/><Relationship Id="rId1" Type="http://schemas.openxmlformats.org/officeDocument/2006/relationships/hyperlink" Target="https://biwenger.as.com/segunda-division/players/j-magunagoitia" TargetMode="External"/><Relationship Id="rId6" Type="http://schemas.openxmlformats.org/officeDocument/2006/relationships/hyperlink" Target="https://biwenger.as.com/segunda-division/players/pablo-garcia" TargetMode="External"/><Relationship Id="rId11" Type="http://schemas.openxmlformats.org/officeDocument/2006/relationships/hyperlink" Target="https://biwenger.as.com/segunda-division/players/nico-toca" TargetMode="External"/><Relationship Id="rId5" Type="http://schemas.openxmlformats.org/officeDocument/2006/relationships/hyperlink" Target="https://biwenger.as.com/segunda-division/players/hodei-arrillaga" TargetMode="External"/><Relationship Id="rId15" Type="http://schemas.openxmlformats.org/officeDocument/2006/relationships/hyperlink" Target="https://biwenger.as.com/segunda-division/players/mamadou-traore" TargetMode="External"/><Relationship Id="rId10" Type="http://schemas.openxmlformats.org/officeDocument/2006/relationships/hyperlink" Target="https://biwenger.as.com/segunda-division/players/manu-trigueros" TargetMode="External"/><Relationship Id="rId4" Type="http://schemas.openxmlformats.org/officeDocument/2006/relationships/hyperlink" Target="https://biwenger.as.com/segunda-division/players/sergio-barcia" TargetMode="External"/><Relationship Id="rId9" Type="http://schemas.openxmlformats.org/officeDocument/2006/relationships/hyperlink" Target="https://biwenger.as.com/segunda-division/players/peru-nolaskoain" TargetMode="External"/><Relationship Id="rId14" Type="http://schemas.openxmlformats.org/officeDocument/2006/relationships/hyperlink" Target="https://biwenger.as.com/segunda-division/players/j-de-la-rosa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biwenger.as.com/segunda-division/players/ivan-alejo" TargetMode="External"/><Relationship Id="rId13" Type="http://schemas.openxmlformats.org/officeDocument/2006/relationships/hyperlink" Target="https://biwenger.as.com/segunda-division/players/dani-escriche" TargetMode="External"/><Relationship Id="rId18" Type="http://schemas.openxmlformats.org/officeDocument/2006/relationships/table" Target="../tables/table30.xml"/><Relationship Id="rId3" Type="http://schemas.openxmlformats.org/officeDocument/2006/relationships/hyperlink" Target="https://biwenger.as.com/segunda-division/players/julio-alonso" TargetMode="External"/><Relationship Id="rId7" Type="http://schemas.openxmlformats.org/officeDocument/2006/relationships/hyperlink" Target="https://biwenger.as.com/segunda-division/players/brais-martinez" TargetMode="External"/><Relationship Id="rId12" Type="http://schemas.openxmlformats.org/officeDocument/2006/relationships/hyperlink" Target="https://biwenger.as.com/segunda-division/players/ramon-enriquez" TargetMode="External"/><Relationship Id="rId17" Type="http://schemas.openxmlformats.org/officeDocument/2006/relationships/table" Target="../tables/table29.xml"/><Relationship Id="rId2" Type="http://schemas.openxmlformats.org/officeDocument/2006/relationships/hyperlink" Target="https://biwenger.as.com/segunda-division/players/fernando" TargetMode="External"/><Relationship Id="rId16" Type="http://schemas.openxmlformats.org/officeDocument/2006/relationships/table" Target="../tables/table28.xml"/><Relationship Id="rId1" Type="http://schemas.openxmlformats.org/officeDocument/2006/relationships/hyperlink" Target="https://biwenger.as.com/segunda-division/players/victor-aznar" TargetMode="External"/><Relationship Id="rId6" Type="http://schemas.openxmlformats.org/officeDocument/2006/relationships/hyperlink" Target="https://biwenger.as.com/segunda-division/players/einar-galilea" TargetMode="External"/><Relationship Id="rId11" Type="http://schemas.openxmlformats.org/officeDocument/2006/relationships/hyperlink" Target="https://biwenger.as.com/segunda-division/players/g-escalante" TargetMode="External"/><Relationship Id="rId5" Type="http://schemas.openxmlformats.org/officeDocument/2006/relationships/hyperlink" Target="https://biwenger.as.com/segunda-division/players/inaki-ruperez" TargetMode="External"/><Relationship Id="rId15" Type="http://schemas.openxmlformats.org/officeDocument/2006/relationships/hyperlink" Target="https://biwenger.as.com/segunda-division/players/manu-justo" TargetMode="External"/><Relationship Id="rId10" Type="http://schemas.openxmlformats.org/officeDocument/2006/relationships/hyperlink" Target="https://biwenger.as.com/segunda-division/players/k-rodriguez" TargetMode="External"/><Relationship Id="rId4" Type="http://schemas.openxmlformats.org/officeDocument/2006/relationships/hyperlink" Target="https://biwenger.as.com/segunda-division/players/ivan-garriel" TargetMode="External"/><Relationship Id="rId9" Type="http://schemas.openxmlformats.org/officeDocument/2006/relationships/hyperlink" Target="https://biwenger.as.com/segunda-division/players/jon-magunacelaya" TargetMode="External"/><Relationship Id="rId14" Type="http://schemas.openxmlformats.org/officeDocument/2006/relationships/hyperlink" Target="https://biwenger.as.com/segunda-division/players/gaspar-campos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Relationship Id="rId4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workbookViewId="0">
      <selection activeCell="C7" sqref="C7"/>
    </sheetView>
  </sheetViews>
  <sheetFormatPr baseColWidth="10" defaultRowHeight="12.5" x14ac:dyDescent="0.25"/>
  <cols>
    <col min="1" max="1" width="40.90625" bestFit="1" customWidth="1"/>
    <col min="2" max="2" width="10.7265625" bestFit="1" customWidth="1"/>
    <col min="3" max="3" width="10.90625" style="1" customWidth="1"/>
    <col min="4" max="4" width="9.90625" bestFit="1" customWidth="1"/>
    <col min="5" max="5" width="10.90625" customWidth="1"/>
  </cols>
  <sheetData>
    <row r="1" spans="1:7" x14ac:dyDescent="0.25">
      <c r="A1" t="s">
        <v>0</v>
      </c>
      <c r="B1" t="str">
        <f>MID(A1,FIND(" a ",A1)+2,LEN(A1)-FIND("a",A1)-1)</f>
        <v xml:space="preserve"> Costa norte</v>
      </c>
      <c r="C1" s="1" t="str">
        <f>MID(A1,FIND("por ",A1)+4,FIND("€",A1)-FIND("por ",A1)-4-1)</f>
        <v>800.000</v>
      </c>
      <c r="D1" t="str">
        <f>MID(A1,1,FIND(": ",A1)-1)</f>
        <v>Unax Agote</v>
      </c>
      <c r="G1" s="1"/>
    </row>
    <row r="2" spans="1:7" x14ac:dyDescent="0.25">
      <c r="A2" t="s">
        <v>1</v>
      </c>
      <c r="B2" t="str">
        <f>MID(A2,FIND(" a ",A2)+2,LEN(A2)-FIND("a",A2)-1)</f>
        <v xml:space="preserve"> Llaule</v>
      </c>
      <c r="C2" s="1" t="str">
        <f>MID(A2,FIND("por ",A2)+4,FIND("€",A2)-FIND("por ",A2)-4-1)</f>
        <v>743.400</v>
      </c>
      <c r="D2" t="str">
        <f>MID(A2,1,FIND(": ",A2)-1)</f>
        <v>Yayo</v>
      </c>
    </row>
    <row r="3" spans="1:7" x14ac:dyDescent="0.25">
      <c r="A3" t="s">
        <v>2</v>
      </c>
      <c r="B3" t="str">
        <f>MID(A3,FIND(" a ",A3)+2,LEN(A3)-FIND("a",A3)-1)</f>
        <v xml:space="preserve"> Llaule</v>
      </c>
      <c r="C3" s="1" t="str">
        <f>MID(A3,FIND("por ",A3)+4,FIND("€",A3)-FIND("por ",A3)-4-1)</f>
        <v>2.260.000</v>
      </c>
      <c r="D3" t="str">
        <f>MID(A3,1,FIND(": ",A3)-1)</f>
        <v>Marvel</v>
      </c>
    </row>
  </sheetData>
  <pageMargins left="0.70000000000000007" right="0.7000000000000000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topLeftCell="C1" workbookViewId="0">
      <selection activeCell="H24" sqref="H24"/>
    </sheetView>
  </sheetViews>
  <sheetFormatPr baseColWidth="10" defaultRowHeight="12.5" x14ac:dyDescent="0.25"/>
  <cols>
    <col min="1" max="1" width="17" hidden="1" customWidth="1"/>
    <col min="2" max="2" width="10.90625" hidden="1" customWidth="1"/>
    <col min="3" max="3" width="12.81640625" bestFit="1" customWidth="1"/>
    <col min="4" max="4" width="14.453125" style="3" customWidth="1"/>
    <col min="5" max="5" width="15.90625" bestFit="1" customWidth="1"/>
    <col min="6" max="6" width="12.1796875" style="3" bestFit="1" customWidth="1"/>
    <col min="7" max="7" width="14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s="2" customFormat="1" x14ac:dyDescent="0.25">
      <c r="A1" s="2" t="s">
        <v>3</v>
      </c>
      <c r="B1" s="2" t="s">
        <v>4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s="2" t="s">
        <v>10</v>
      </c>
      <c r="I1" s="4" t="s">
        <v>11</v>
      </c>
      <c r="J1" s="5"/>
      <c r="K1" s="4" t="s">
        <v>12</v>
      </c>
      <c r="L1" s="6">
        <f ca="1">TODAY()</f>
        <v>45938</v>
      </c>
    </row>
    <row r="2" spans="1:12" x14ac:dyDescent="0.25">
      <c r="A2" t="s">
        <v>13</v>
      </c>
      <c r="B2">
        <v>3380000</v>
      </c>
      <c r="C2" t="s">
        <v>14</v>
      </c>
      <c r="D2" s="7">
        <v>4000000</v>
      </c>
      <c r="E2" s="5" t="s">
        <v>15</v>
      </c>
      <c r="F2" s="7">
        <v>1068400</v>
      </c>
      <c r="G2" s="8">
        <f>SUM(D:D)</f>
        <v>44520000</v>
      </c>
      <c r="H2" s="9">
        <v>38300000</v>
      </c>
      <c r="I2" s="9">
        <v>1130000</v>
      </c>
      <c r="J2" s="5" t="s">
        <v>16</v>
      </c>
      <c r="K2" s="6">
        <v>45936</v>
      </c>
    </row>
    <row r="3" spans="1:12" x14ac:dyDescent="0.25">
      <c r="A3" t="s">
        <v>17</v>
      </c>
      <c r="B3">
        <v>470000</v>
      </c>
      <c r="C3" t="s">
        <v>18</v>
      </c>
      <c r="D3" s="7">
        <v>8000000</v>
      </c>
      <c r="E3" t="s">
        <v>17</v>
      </c>
      <c r="F3" s="7">
        <v>423200</v>
      </c>
      <c r="G3" s="2"/>
      <c r="I3" s="9">
        <v>800000</v>
      </c>
      <c r="J3" t="s">
        <v>19</v>
      </c>
    </row>
    <row r="4" spans="1:12" x14ac:dyDescent="0.25">
      <c r="A4" t="s">
        <v>20</v>
      </c>
      <c r="B4">
        <v>2330000</v>
      </c>
      <c r="C4" t="s">
        <v>21</v>
      </c>
      <c r="D4" s="7">
        <v>3300000</v>
      </c>
      <c r="E4" t="s">
        <v>22</v>
      </c>
      <c r="F4" s="7">
        <v>191500</v>
      </c>
      <c r="G4" s="2" t="s">
        <v>23</v>
      </c>
      <c r="H4" s="2" t="s">
        <v>24</v>
      </c>
      <c r="I4" s="9">
        <v>710000</v>
      </c>
      <c r="J4" s="5" t="s">
        <v>25</v>
      </c>
      <c r="K4" t="s">
        <v>26</v>
      </c>
      <c r="L4" s="5">
        <f>COUNT(Guacamayos!$D$2:$D$14)</f>
        <v>13</v>
      </c>
    </row>
    <row r="5" spans="1:12" x14ac:dyDescent="0.25">
      <c r="A5" t="s">
        <v>27</v>
      </c>
      <c r="B5">
        <v>1870000</v>
      </c>
      <c r="C5" t="s">
        <v>28</v>
      </c>
      <c r="D5" s="7">
        <v>4500000</v>
      </c>
      <c r="E5" t="s">
        <v>29</v>
      </c>
      <c r="F5" s="7">
        <v>252900</v>
      </c>
      <c r="G5" s="8">
        <f>SUM(F:F)</f>
        <v>23858900</v>
      </c>
      <c r="H5" s="8">
        <f>SUM(Guacamayos!$I$2:$I$7)</f>
        <v>5380000</v>
      </c>
      <c r="I5" s="9">
        <v>790000</v>
      </c>
      <c r="J5" t="s">
        <v>30</v>
      </c>
      <c r="K5" t="s">
        <v>31</v>
      </c>
      <c r="L5" s="5">
        <f>COUNT(Guacamayos!$F$2:$F$18)</f>
        <v>17</v>
      </c>
    </row>
    <row r="6" spans="1:12" x14ac:dyDescent="0.25">
      <c r="A6" t="s">
        <v>32</v>
      </c>
      <c r="B6">
        <v>2850000</v>
      </c>
      <c r="C6" t="s">
        <v>33</v>
      </c>
      <c r="D6" s="7">
        <v>900000</v>
      </c>
      <c r="E6" t="s">
        <v>13</v>
      </c>
      <c r="F6" s="7">
        <v>3036900</v>
      </c>
      <c r="G6" s="9"/>
      <c r="H6" s="2"/>
      <c r="I6" s="9">
        <v>720000</v>
      </c>
      <c r="J6" s="5" t="s">
        <v>34</v>
      </c>
    </row>
    <row r="7" spans="1:12" x14ac:dyDescent="0.25">
      <c r="A7" t="s">
        <v>35</v>
      </c>
      <c r="B7">
        <v>2210000</v>
      </c>
      <c r="C7" t="s">
        <v>36</v>
      </c>
      <c r="D7" s="7">
        <v>8500000</v>
      </c>
      <c r="E7" t="s">
        <v>37</v>
      </c>
      <c r="F7" s="7">
        <v>1808100</v>
      </c>
      <c r="G7" s="2" t="s">
        <v>38</v>
      </c>
      <c r="H7" s="2" t="s">
        <v>39</v>
      </c>
      <c r="I7" s="9">
        <v>1230000</v>
      </c>
      <c r="J7" t="s">
        <v>40</v>
      </c>
    </row>
    <row r="8" spans="1:12" x14ac:dyDescent="0.25">
      <c r="A8" t="s">
        <v>41</v>
      </c>
      <c r="B8">
        <v>150000</v>
      </c>
      <c r="C8" t="s">
        <v>42</v>
      </c>
      <c r="D8" s="7">
        <v>1680000</v>
      </c>
      <c r="E8" t="s">
        <v>35</v>
      </c>
      <c r="F8" s="7">
        <v>2101900</v>
      </c>
      <c r="G8" s="8">
        <v>18960000</v>
      </c>
      <c r="H8" s="9">
        <f>G14-G8+H2-(40000000-G8)-H5</f>
        <v>-3401100</v>
      </c>
      <c r="J8" s="5" t="s">
        <v>43</v>
      </c>
    </row>
    <row r="9" spans="1:12" x14ac:dyDescent="0.25">
      <c r="A9" t="s">
        <v>44</v>
      </c>
      <c r="B9">
        <v>1480000</v>
      </c>
      <c r="C9" t="s">
        <v>45</v>
      </c>
      <c r="D9" s="7">
        <v>720000</v>
      </c>
      <c r="E9" t="s">
        <v>46</v>
      </c>
      <c r="F9" s="7">
        <v>320000</v>
      </c>
      <c r="G9" s="2"/>
      <c r="J9" t="s">
        <v>47</v>
      </c>
    </row>
    <row r="10" spans="1:12" x14ac:dyDescent="0.25">
      <c r="A10" t="s">
        <v>48</v>
      </c>
      <c r="B10">
        <v>1620000</v>
      </c>
      <c r="C10" t="s">
        <v>49</v>
      </c>
      <c r="D10" s="7">
        <v>3700000</v>
      </c>
      <c r="E10" t="s">
        <v>41</v>
      </c>
      <c r="F10" s="7">
        <v>145700</v>
      </c>
      <c r="G10" s="2" t="s">
        <v>50</v>
      </c>
      <c r="J10" s="5" t="s">
        <v>51</v>
      </c>
    </row>
    <row r="11" spans="1:12" x14ac:dyDescent="0.25">
      <c r="A11" t="s">
        <v>37</v>
      </c>
      <c r="B11">
        <v>1860000</v>
      </c>
      <c r="C11" t="s">
        <v>52</v>
      </c>
      <c r="D11" s="7">
        <v>1290000</v>
      </c>
      <c r="E11" t="s">
        <v>33</v>
      </c>
      <c r="F11" s="7">
        <v>666200</v>
      </c>
      <c r="G11" s="9">
        <f>G14+H2/4</f>
        <v>13253900</v>
      </c>
      <c r="I11" s="9"/>
      <c r="J11" t="s">
        <v>53</v>
      </c>
    </row>
    <row r="12" spans="1:12" x14ac:dyDescent="0.25">
      <c r="A12" t="s">
        <v>54</v>
      </c>
      <c r="B12">
        <v>940000</v>
      </c>
      <c r="C12" t="s">
        <v>55</v>
      </c>
      <c r="D12" s="7">
        <v>300000</v>
      </c>
      <c r="E12" t="s">
        <v>54</v>
      </c>
      <c r="F12" s="7">
        <v>862000</v>
      </c>
      <c r="G12" s="2"/>
      <c r="J12" s="5" t="s">
        <v>56</v>
      </c>
    </row>
    <row r="13" spans="1:12" x14ac:dyDescent="0.25">
      <c r="A13" t="s">
        <v>29</v>
      </c>
      <c r="B13">
        <v>260000</v>
      </c>
      <c r="C13" t="s">
        <v>57</v>
      </c>
      <c r="D13" s="7">
        <v>2260000</v>
      </c>
      <c r="E13" t="s">
        <v>27</v>
      </c>
      <c r="F13" s="7">
        <v>2831800</v>
      </c>
      <c r="G13" s="2" t="s">
        <v>58</v>
      </c>
      <c r="J13" t="s">
        <v>59</v>
      </c>
    </row>
    <row r="14" spans="1:12" x14ac:dyDescent="0.25">
      <c r="A14" t="s">
        <v>15</v>
      </c>
      <c r="B14">
        <v>1100000</v>
      </c>
      <c r="C14" t="s">
        <v>60</v>
      </c>
      <c r="D14" s="7">
        <v>5370000</v>
      </c>
      <c r="E14" t="s">
        <v>45</v>
      </c>
      <c r="F14" s="7">
        <v>520200</v>
      </c>
      <c r="G14" s="9">
        <f>G8+G5-G2+H5</f>
        <v>3678900</v>
      </c>
      <c r="J14" s="5" t="s">
        <v>61</v>
      </c>
    </row>
    <row r="15" spans="1:12" x14ac:dyDescent="0.25">
      <c r="A15" t="s">
        <v>46</v>
      </c>
      <c r="B15">
        <v>320000</v>
      </c>
      <c r="E15" t="s">
        <v>42</v>
      </c>
      <c r="F15" s="7">
        <v>1680300</v>
      </c>
      <c r="J15" t="s">
        <v>62</v>
      </c>
    </row>
    <row r="16" spans="1:12" x14ac:dyDescent="0.25">
      <c r="A16" t="s">
        <v>22</v>
      </c>
      <c r="B16">
        <v>200000</v>
      </c>
      <c r="E16" t="s">
        <v>44</v>
      </c>
      <c r="F16" s="7">
        <v>3132600</v>
      </c>
      <c r="J16" s="5" t="s">
        <v>63</v>
      </c>
    </row>
    <row r="17" spans="2:10" x14ac:dyDescent="0.25">
      <c r="B17">
        <f>SUM(B2:B16)</f>
        <v>21040000</v>
      </c>
      <c r="E17" t="s">
        <v>32</v>
      </c>
      <c r="F17" s="7">
        <v>1983100</v>
      </c>
      <c r="J17" t="s">
        <v>64</v>
      </c>
    </row>
    <row r="18" spans="2:10" x14ac:dyDescent="0.25">
      <c r="E18" t="s">
        <v>20</v>
      </c>
      <c r="F18" s="7">
        <v>2834100</v>
      </c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2"/>
  <sheetViews>
    <sheetView topLeftCell="C1" workbookViewId="0">
      <selection activeCell="I14" sqref="I14"/>
    </sheetView>
  </sheetViews>
  <sheetFormatPr baseColWidth="10" defaultRowHeight="12.5" x14ac:dyDescent="0.25"/>
  <cols>
    <col min="1" max="1" width="14.453125" hidden="1" customWidth="1"/>
    <col min="2" max="2" width="10.90625" hidden="1" customWidth="1"/>
    <col min="3" max="3" width="13.90625" bestFit="1" customWidth="1"/>
    <col min="4" max="4" width="10.90625" style="3" customWidth="1"/>
    <col min="5" max="5" width="14.6328125" bestFit="1" customWidth="1"/>
    <col min="6" max="6" width="11.453125" style="3" customWidth="1"/>
    <col min="7" max="7" width="15.36328125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45938</v>
      </c>
    </row>
    <row r="2" spans="1:12" x14ac:dyDescent="0.25">
      <c r="A2" t="s">
        <v>90</v>
      </c>
      <c r="B2" s="5">
        <v>2610000</v>
      </c>
      <c r="C2" t="s">
        <v>91</v>
      </c>
      <c r="D2" s="7">
        <v>3180000</v>
      </c>
      <c r="E2" s="5" t="s">
        <v>92</v>
      </c>
      <c r="F2" s="7">
        <v>277600</v>
      </c>
      <c r="G2" s="8">
        <f>SUM(D:D)</f>
        <v>48108000</v>
      </c>
      <c r="H2" s="9">
        <v>38990000</v>
      </c>
      <c r="I2" s="9">
        <v>760000</v>
      </c>
      <c r="J2" s="5" t="s">
        <v>16</v>
      </c>
      <c r="K2" s="6">
        <v>45936</v>
      </c>
    </row>
    <row r="3" spans="1:12" x14ac:dyDescent="0.25">
      <c r="A3" t="s">
        <v>93</v>
      </c>
      <c r="B3" s="5">
        <v>250000</v>
      </c>
      <c r="C3" t="s">
        <v>94</v>
      </c>
      <c r="D3" s="7">
        <v>770100</v>
      </c>
      <c r="E3" t="s">
        <v>95</v>
      </c>
      <c r="F3" s="7">
        <v>1190000</v>
      </c>
      <c r="G3" s="2"/>
      <c r="I3" s="9">
        <v>990000</v>
      </c>
      <c r="J3" t="s">
        <v>19</v>
      </c>
    </row>
    <row r="4" spans="1:12" x14ac:dyDescent="0.25">
      <c r="A4" t="s">
        <v>96</v>
      </c>
      <c r="B4" s="5">
        <v>2200000</v>
      </c>
      <c r="C4" t="s">
        <v>42</v>
      </c>
      <c r="D4" s="7">
        <v>670110</v>
      </c>
      <c r="E4" t="s">
        <v>42</v>
      </c>
      <c r="F4" s="7">
        <v>1680000</v>
      </c>
      <c r="G4" s="2" t="s">
        <v>23</v>
      </c>
      <c r="H4" s="2" t="s">
        <v>24</v>
      </c>
      <c r="I4" s="9">
        <v>930000</v>
      </c>
      <c r="J4" s="5" t="s">
        <v>25</v>
      </c>
      <c r="K4" t="s">
        <v>26</v>
      </c>
      <c r="L4" s="5">
        <f>COUNT('Cachoneros Mantilla Bésalo'!$D$2:$D$14)</f>
        <v>13</v>
      </c>
    </row>
    <row r="5" spans="1:12" x14ac:dyDescent="0.25">
      <c r="A5" t="s">
        <v>97</v>
      </c>
      <c r="B5" s="5">
        <v>850000</v>
      </c>
      <c r="C5" t="s">
        <v>98</v>
      </c>
      <c r="D5" s="7">
        <v>691000</v>
      </c>
      <c r="E5" t="s">
        <v>99</v>
      </c>
      <c r="F5" s="7">
        <v>3607900</v>
      </c>
      <c r="G5" s="8">
        <f>SUM(F:F)</f>
        <v>25760500</v>
      </c>
      <c r="H5" s="8">
        <f>SUM('Cachoneros Mantilla Bésalo'!$I$2:$I$7)</f>
        <v>5240000</v>
      </c>
      <c r="I5" s="9">
        <v>910000</v>
      </c>
      <c r="J5" t="s">
        <v>30</v>
      </c>
      <c r="K5" t="s">
        <v>31</v>
      </c>
      <c r="L5" s="5">
        <f>COUNT('Cachoneros Mantilla Bésalo'!$F$2:$F$17)</f>
        <v>16</v>
      </c>
    </row>
    <row r="6" spans="1:12" x14ac:dyDescent="0.25">
      <c r="A6" t="s">
        <v>100</v>
      </c>
      <c r="B6" s="5">
        <v>770000</v>
      </c>
      <c r="C6" t="s">
        <v>101</v>
      </c>
      <c r="D6" s="7">
        <v>5000001</v>
      </c>
      <c r="E6" t="s">
        <v>91</v>
      </c>
      <c r="F6" s="7">
        <v>2287000</v>
      </c>
      <c r="I6" s="9">
        <v>1110000</v>
      </c>
      <c r="J6" s="5" t="s">
        <v>34</v>
      </c>
    </row>
    <row r="7" spans="1:12" x14ac:dyDescent="0.25">
      <c r="A7" t="s">
        <v>102</v>
      </c>
      <c r="B7" s="5">
        <v>240000</v>
      </c>
      <c r="C7" t="s">
        <v>103</v>
      </c>
      <c r="D7" s="7">
        <v>7681000</v>
      </c>
      <c r="E7" t="s">
        <v>94</v>
      </c>
      <c r="F7" s="7">
        <v>645000</v>
      </c>
      <c r="G7" s="2" t="s">
        <v>38</v>
      </c>
      <c r="H7" s="2" t="s">
        <v>39</v>
      </c>
      <c r="I7" s="9">
        <v>540000</v>
      </c>
      <c r="J7" t="s">
        <v>40</v>
      </c>
    </row>
    <row r="8" spans="1:12" x14ac:dyDescent="0.25">
      <c r="A8" t="s">
        <v>104</v>
      </c>
      <c r="B8" s="5">
        <v>1320000</v>
      </c>
      <c r="C8" t="s">
        <v>105</v>
      </c>
      <c r="D8" s="7">
        <v>1540000</v>
      </c>
      <c r="E8" t="s">
        <v>106</v>
      </c>
      <c r="F8" s="7">
        <v>1339400</v>
      </c>
      <c r="G8" s="8">
        <v>18940000</v>
      </c>
      <c r="H8" s="9">
        <f>G14-G8+H2-(40000000-G8)-H5</f>
        <v>-4417500</v>
      </c>
      <c r="J8" s="5" t="s">
        <v>43</v>
      </c>
    </row>
    <row r="9" spans="1:12" x14ac:dyDescent="0.25">
      <c r="A9" t="s">
        <v>107</v>
      </c>
      <c r="B9" s="5">
        <v>790000</v>
      </c>
      <c r="C9" t="s">
        <v>108</v>
      </c>
      <c r="D9" s="7">
        <v>17632789</v>
      </c>
      <c r="E9" t="s">
        <v>109</v>
      </c>
      <c r="F9" s="7">
        <v>2000000</v>
      </c>
      <c r="J9" t="s">
        <v>47</v>
      </c>
    </row>
    <row r="10" spans="1:12" x14ac:dyDescent="0.25">
      <c r="A10" t="s">
        <v>99</v>
      </c>
      <c r="B10" s="5">
        <v>4310000</v>
      </c>
      <c r="C10" t="s">
        <v>110</v>
      </c>
      <c r="D10" s="7">
        <v>1192000</v>
      </c>
      <c r="E10" t="s">
        <v>96</v>
      </c>
      <c r="F10" s="7">
        <v>3500000</v>
      </c>
      <c r="G10" s="2" t="s">
        <v>50</v>
      </c>
      <c r="J10" s="5" t="s">
        <v>51</v>
      </c>
    </row>
    <row r="11" spans="1:12" x14ac:dyDescent="0.25">
      <c r="A11" t="s">
        <v>111</v>
      </c>
      <c r="B11" s="5">
        <v>2190000</v>
      </c>
      <c r="C11" t="s">
        <v>112</v>
      </c>
      <c r="D11" s="7">
        <v>1720000</v>
      </c>
      <c r="E11" t="s">
        <v>93</v>
      </c>
      <c r="F11" s="7">
        <v>197200</v>
      </c>
      <c r="G11" s="9">
        <f>G14+H2/4</f>
        <v>11580000</v>
      </c>
      <c r="J11" t="s">
        <v>53</v>
      </c>
    </row>
    <row r="12" spans="1:12" x14ac:dyDescent="0.25">
      <c r="A12" t="s">
        <v>113</v>
      </c>
      <c r="B12" s="5">
        <v>350000</v>
      </c>
      <c r="C12" t="s">
        <v>99</v>
      </c>
      <c r="D12" s="7">
        <v>3130000</v>
      </c>
      <c r="E12" t="s">
        <v>102</v>
      </c>
      <c r="F12" s="7">
        <v>198900</v>
      </c>
      <c r="J12" s="5" t="s">
        <v>56</v>
      </c>
    </row>
    <row r="13" spans="1:12" x14ac:dyDescent="0.25">
      <c r="A13" t="s">
        <v>92</v>
      </c>
      <c r="B13" s="5">
        <v>330000</v>
      </c>
      <c r="C13" t="s">
        <v>114</v>
      </c>
      <c r="D13" s="7">
        <v>3011000</v>
      </c>
      <c r="E13" t="s">
        <v>103</v>
      </c>
      <c r="F13" s="7">
        <v>4107800</v>
      </c>
      <c r="G13" s="2" t="s">
        <v>58</v>
      </c>
      <c r="J13" t="s">
        <v>59</v>
      </c>
    </row>
    <row r="14" spans="1:12" x14ac:dyDescent="0.25">
      <c r="A14" t="s">
        <v>95</v>
      </c>
      <c r="B14" s="5">
        <v>520000</v>
      </c>
      <c r="C14" t="s">
        <v>115</v>
      </c>
      <c r="D14" s="7">
        <v>1890000</v>
      </c>
      <c r="E14" t="s">
        <v>105</v>
      </c>
      <c r="F14" s="7">
        <v>921800</v>
      </c>
      <c r="G14" s="9">
        <f>G8+G5-G2+H5</f>
        <v>1832500</v>
      </c>
      <c r="J14" s="5" t="s">
        <v>61</v>
      </c>
    </row>
    <row r="15" spans="1:12" x14ac:dyDescent="0.25">
      <c r="A15" t="s">
        <v>109</v>
      </c>
      <c r="B15" s="5">
        <v>2450000</v>
      </c>
      <c r="E15" t="s">
        <v>104</v>
      </c>
      <c r="F15" s="7">
        <v>966100</v>
      </c>
      <c r="J15" t="s">
        <v>62</v>
      </c>
    </row>
    <row r="16" spans="1:12" x14ac:dyDescent="0.25">
      <c r="A16" t="s">
        <v>106</v>
      </c>
      <c r="B16" s="5">
        <v>1880000</v>
      </c>
      <c r="E16" t="s">
        <v>111</v>
      </c>
      <c r="F16" s="7">
        <v>1381800</v>
      </c>
      <c r="J16" s="5" t="s">
        <v>63</v>
      </c>
    </row>
    <row r="17" spans="2:10" x14ac:dyDescent="0.25">
      <c r="B17" s="5">
        <f>SUM(B2:B16)</f>
        <v>21060000</v>
      </c>
      <c r="C17" s="5"/>
      <c r="E17" t="s">
        <v>112</v>
      </c>
      <c r="F17" s="7">
        <v>1460000</v>
      </c>
      <c r="J17" t="s">
        <v>64</v>
      </c>
    </row>
    <row r="18" spans="2:10" x14ac:dyDescent="0.25">
      <c r="F18" s="7"/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hyperlinks>
    <hyperlink ref="C2" r:id="rId1" xr:uid="{00000000-0004-0000-0200-000000000000}"/>
  </hyperlinks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4"/>
  <sheetViews>
    <sheetView topLeftCell="A12" workbookViewId="0">
      <selection activeCell="D32" sqref="D32"/>
    </sheetView>
  </sheetViews>
  <sheetFormatPr baseColWidth="10" defaultRowHeight="12.5" x14ac:dyDescent="0.25"/>
  <cols>
    <col min="1" max="1" width="19.08984375" customWidth="1"/>
    <col min="2" max="2" width="11.54296875" style="9" customWidth="1"/>
    <col min="3" max="3" width="15.54296875" bestFit="1" customWidth="1"/>
    <col min="4" max="4" width="13.453125" style="9" customWidth="1"/>
    <col min="5" max="5" width="18.54296875" customWidth="1"/>
    <col min="6" max="6" width="24.26953125" bestFit="1" customWidth="1"/>
    <col min="7" max="7" width="14.54296875" style="4" bestFit="1" customWidth="1"/>
    <col min="8" max="8" width="2.54296875" bestFit="1" customWidth="1"/>
    <col min="9" max="9" width="18.36328125" bestFit="1" customWidth="1"/>
    <col min="10" max="10" width="17" bestFit="1" customWidth="1"/>
    <col min="11" max="11" width="11.54296875" customWidth="1"/>
    <col min="12" max="12" width="13.6328125" bestFit="1" customWidth="1"/>
    <col min="13" max="13" width="23.7265625" bestFit="1" customWidth="1"/>
    <col min="14" max="14" width="24.54296875" customWidth="1"/>
    <col min="15" max="15" width="23.7265625" bestFit="1" customWidth="1"/>
    <col min="16" max="16378" width="11.54296875" customWidth="1"/>
    <col min="16379" max="16384" width="10.90625" customWidth="1"/>
  </cols>
  <sheetData>
    <row r="1" spans="1:10" s="2" customFormat="1" x14ac:dyDescent="0.25">
      <c r="A1" s="2" t="s">
        <v>5</v>
      </c>
      <c r="B1" s="9" t="s">
        <v>116</v>
      </c>
      <c r="C1" s="2" t="s">
        <v>7</v>
      </c>
      <c r="D1" s="9" t="s">
        <v>117</v>
      </c>
      <c r="E1" s="2" t="s">
        <v>118</v>
      </c>
      <c r="F1" s="2" t="s">
        <v>119</v>
      </c>
      <c r="G1" s="4" t="s">
        <v>11</v>
      </c>
      <c r="H1" s="5"/>
      <c r="I1" s="4" t="s">
        <v>12</v>
      </c>
      <c r="J1" s="6">
        <f ca="1">TODAY()</f>
        <v>45938</v>
      </c>
    </row>
    <row r="2" spans="1:10" x14ac:dyDescent="0.25">
      <c r="A2" t="s">
        <v>120</v>
      </c>
      <c r="B2" s="9">
        <v>1160000</v>
      </c>
      <c r="C2" t="s">
        <v>121</v>
      </c>
      <c r="D2" s="9">
        <v>3000000</v>
      </c>
      <c r="E2" s="8">
        <f>SUM(D:D)</f>
        <v>48772300</v>
      </c>
      <c r="F2" s="8">
        <v>21250000</v>
      </c>
      <c r="G2" s="9">
        <v>930000</v>
      </c>
      <c r="H2" s="5" t="s">
        <v>16</v>
      </c>
      <c r="I2" s="6">
        <v>45936</v>
      </c>
    </row>
    <row r="3" spans="1:10" x14ac:dyDescent="0.25">
      <c r="A3" t="s">
        <v>122</v>
      </c>
      <c r="B3" s="9">
        <v>190000</v>
      </c>
      <c r="C3" t="s">
        <v>123</v>
      </c>
      <c r="D3" s="9">
        <v>1050000</v>
      </c>
      <c r="F3" s="5"/>
      <c r="G3" s="9">
        <v>750000</v>
      </c>
      <c r="H3" t="s">
        <v>19</v>
      </c>
      <c r="I3" s="5"/>
    </row>
    <row r="4" spans="1:10" x14ac:dyDescent="0.25">
      <c r="A4" t="s">
        <v>124</v>
      </c>
      <c r="B4" s="9">
        <v>2860000</v>
      </c>
      <c r="C4" t="s">
        <v>125</v>
      </c>
      <c r="D4" s="9">
        <v>1040000</v>
      </c>
      <c r="E4" s="2" t="s">
        <v>126</v>
      </c>
      <c r="F4" s="4" t="s">
        <v>127</v>
      </c>
      <c r="G4" s="9">
        <v>790000</v>
      </c>
      <c r="H4" s="5" t="s">
        <v>25</v>
      </c>
      <c r="I4" t="s">
        <v>26</v>
      </c>
      <c r="J4" s="5">
        <f>COUNT(Llaule!$B$2:$B$32)+2</f>
        <v>33</v>
      </c>
    </row>
    <row r="5" spans="1:10" x14ac:dyDescent="0.25">
      <c r="A5" t="s">
        <v>128</v>
      </c>
      <c r="B5" s="9">
        <v>2000000</v>
      </c>
      <c r="C5" t="s">
        <v>129</v>
      </c>
      <c r="D5" s="9">
        <v>3690700</v>
      </c>
      <c r="E5" s="8">
        <f>SUM(B:B)</f>
        <v>71249400</v>
      </c>
      <c r="F5" s="9">
        <v>44840000</v>
      </c>
      <c r="G5" s="9">
        <v>750000</v>
      </c>
      <c r="H5" t="s">
        <v>30</v>
      </c>
      <c r="I5" t="s">
        <v>31</v>
      </c>
      <c r="J5" s="5">
        <f>COUNT(Llaule!$D$2:$D$27)+2</f>
        <v>28</v>
      </c>
    </row>
    <row r="6" spans="1:10" x14ac:dyDescent="0.25">
      <c r="A6" t="s">
        <v>130</v>
      </c>
      <c r="B6" s="9">
        <v>1200000</v>
      </c>
      <c r="C6" t="s">
        <v>131</v>
      </c>
      <c r="D6" s="9">
        <v>519400</v>
      </c>
      <c r="G6" s="9">
        <v>1030000</v>
      </c>
      <c r="H6" s="5" t="s">
        <v>34</v>
      </c>
      <c r="I6" s="5"/>
    </row>
    <row r="7" spans="1:10" x14ac:dyDescent="0.25">
      <c r="A7" t="s">
        <v>132</v>
      </c>
      <c r="B7" s="9">
        <v>4160000</v>
      </c>
      <c r="C7" s="11" t="s">
        <v>133</v>
      </c>
      <c r="D7" s="9">
        <v>323000</v>
      </c>
      <c r="E7" s="2" t="s">
        <v>38</v>
      </c>
      <c r="F7" s="2" t="s">
        <v>134</v>
      </c>
      <c r="G7" s="9">
        <v>1150000</v>
      </c>
      <c r="H7" t="s">
        <v>40</v>
      </c>
      <c r="I7" s="5"/>
    </row>
    <row r="8" spans="1:10" x14ac:dyDescent="0.25">
      <c r="A8" t="s">
        <v>135</v>
      </c>
      <c r="B8" s="9">
        <v>250000</v>
      </c>
      <c r="C8" s="11" t="s">
        <v>136</v>
      </c>
      <c r="D8" s="9">
        <v>190000</v>
      </c>
      <c r="E8" s="8">
        <v>18750000</v>
      </c>
      <c r="F8" s="8">
        <f>SUM(Llaule!$G$2:$G$43)</f>
        <v>4400000</v>
      </c>
      <c r="H8" s="5" t="s">
        <v>43</v>
      </c>
      <c r="I8" s="5"/>
    </row>
    <row r="9" spans="1:10" x14ac:dyDescent="0.25">
      <c r="A9" t="s">
        <v>137</v>
      </c>
      <c r="B9" s="9">
        <v>1560000</v>
      </c>
      <c r="C9" s="11" t="s">
        <v>138</v>
      </c>
      <c r="D9" s="9">
        <v>165300</v>
      </c>
      <c r="E9" s="5"/>
      <c r="F9" s="5"/>
      <c r="G9" s="9"/>
      <c r="H9" t="s">
        <v>47</v>
      </c>
      <c r="I9" s="5"/>
    </row>
    <row r="10" spans="1:10" ht="15" customHeight="1" x14ac:dyDescent="0.3">
      <c r="A10" t="s">
        <v>139</v>
      </c>
      <c r="B10" s="9">
        <v>3840000</v>
      </c>
      <c r="C10" t="s">
        <v>17</v>
      </c>
      <c r="D10" s="9">
        <v>551100</v>
      </c>
      <c r="E10" s="12" t="s">
        <v>140</v>
      </c>
      <c r="F10" s="13" t="s">
        <v>39</v>
      </c>
      <c r="G10" s="9"/>
      <c r="H10" s="5" t="s">
        <v>51</v>
      </c>
      <c r="I10" s="5"/>
    </row>
    <row r="11" spans="1:10" ht="15" customHeight="1" x14ac:dyDescent="0.3">
      <c r="A11" t="s">
        <v>141</v>
      </c>
      <c r="B11" s="9">
        <v>400000</v>
      </c>
      <c r="C11" t="s">
        <v>142</v>
      </c>
      <c r="D11" s="9">
        <v>908300</v>
      </c>
      <c r="E11" s="14">
        <f>E8+E2-E5+F8</f>
        <v>672900</v>
      </c>
      <c r="F11" s="8">
        <f>E11-E8+F5-F2-F8</f>
        <v>1112900</v>
      </c>
      <c r="H11" t="s">
        <v>53</v>
      </c>
      <c r="I11" s="5"/>
    </row>
    <row r="12" spans="1:10" x14ac:dyDescent="0.25">
      <c r="A12" t="s">
        <v>143</v>
      </c>
      <c r="B12" s="9">
        <v>2160000</v>
      </c>
      <c r="C12" s="11" t="s">
        <v>137</v>
      </c>
      <c r="D12" s="9">
        <v>6500000</v>
      </c>
      <c r="E12" s="10"/>
      <c r="H12" s="5" t="s">
        <v>56</v>
      </c>
      <c r="I12" s="5"/>
    </row>
    <row r="13" spans="1:10" x14ac:dyDescent="0.25">
      <c r="A13" t="s">
        <v>144</v>
      </c>
      <c r="B13" s="9">
        <v>1560000</v>
      </c>
      <c r="C13" s="11" t="s">
        <v>135</v>
      </c>
      <c r="D13" s="9">
        <v>240600</v>
      </c>
      <c r="E13" s="10"/>
      <c r="F13" s="2" t="s">
        <v>50</v>
      </c>
      <c r="G13" s="9"/>
      <c r="H13" t="s">
        <v>59</v>
      </c>
      <c r="I13" s="5"/>
    </row>
    <row r="14" spans="1:10" x14ac:dyDescent="0.25">
      <c r="A14" s="5" t="s">
        <v>145</v>
      </c>
      <c r="B14" s="9">
        <v>743400</v>
      </c>
      <c r="C14" t="s">
        <v>143</v>
      </c>
      <c r="D14" s="9">
        <v>2000000</v>
      </c>
      <c r="F14" s="15">
        <f>E11+F5/4</f>
        <v>11882900</v>
      </c>
      <c r="G14" s="9"/>
      <c r="H14" s="5" t="s">
        <v>61</v>
      </c>
      <c r="I14" s="5"/>
    </row>
    <row r="15" spans="1:10" x14ac:dyDescent="0.25">
      <c r="A15" t="s">
        <v>146</v>
      </c>
      <c r="B15" s="9">
        <v>2260000</v>
      </c>
      <c r="C15" t="s">
        <v>147</v>
      </c>
      <c r="D15" s="9">
        <v>1012100</v>
      </c>
      <c r="F15" s="5"/>
      <c r="G15" s="9"/>
      <c r="H15" t="s">
        <v>62</v>
      </c>
      <c r="I15" s="5"/>
    </row>
    <row r="16" spans="1:10" x14ac:dyDescent="0.25">
      <c r="A16" t="s">
        <v>148</v>
      </c>
      <c r="B16" s="9">
        <v>2760000</v>
      </c>
      <c r="C16" t="s">
        <v>149</v>
      </c>
      <c r="D16" s="9">
        <v>2465900</v>
      </c>
      <c r="F16" s="5"/>
      <c r="G16" s="9"/>
      <c r="H16" s="5" t="s">
        <v>63</v>
      </c>
      <c r="I16" s="5"/>
    </row>
    <row r="17" spans="1:9" x14ac:dyDescent="0.25">
      <c r="A17" t="s">
        <v>57</v>
      </c>
      <c r="B17" s="9">
        <v>1260000</v>
      </c>
      <c r="C17" t="s">
        <v>122</v>
      </c>
      <c r="D17" s="9">
        <v>145200</v>
      </c>
      <c r="F17" s="5"/>
      <c r="G17" s="9"/>
      <c r="H17" t="s">
        <v>64</v>
      </c>
      <c r="I17" s="5"/>
    </row>
    <row r="18" spans="1:9" x14ac:dyDescent="0.25">
      <c r="A18" t="s">
        <v>150</v>
      </c>
      <c r="B18" s="9">
        <v>980000</v>
      </c>
      <c r="C18" t="s">
        <v>148</v>
      </c>
      <c r="D18" s="9">
        <v>2342500</v>
      </c>
      <c r="F18" s="5"/>
      <c r="G18" s="9"/>
      <c r="H18" s="5" t="s">
        <v>65</v>
      </c>
      <c r="I18" s="5"/>
    </row>
    <row r="19" spans="1:9" x14ac:dyDescent="0.25">
      <c r="A19" t="s">
        <v>151</v>
      </c>
      <c r="B19" s="9">
        <v>4220000</v>
      </c>
      <c r="C19" t="s">
        <v>151</v>
      </c>
      <c r="D19" s="9">
        <v>3940000</v>
      </c>
      <c r="H19" t="s">
        <v>66</v>
      </c>
    </row>
    <row r="20" spans="1:9" x14ac:dyDescent="0.25">
      <c r="A20" t="s">
        <v>60</v>
      </c>
      <c r="B20" s="9">
        <v>5760000</v>
      </c>
      <c r="C20" t="s">
        <v>144</v>
      </c>
      <c r="D20" s="9">
        <v>963700</v>
      </c>
      <c r="H20" s="5" t="s">
        <v>67</v>
      </c>
    </row>
    <row r="21" spans="1:9" x14ac:dyDescent="0.25">
      <c r="A21" t="s">
        <v>152</v>
      </c>
      <c r="B21" s="9">
        <v>650000</v>
      </c>
      <c r="C21" t="s">
        <v>153</v>
      </c>
      <c r="D21" s="9">
        <v>2255400</v>
      </c>
      <c r="H21" t="s">
        <v>68</v>
      </c>
    </row>
    <row r="22" spans="1:9" x14ac:dyDescent="0.25">
      <c r="A22" t="s">
        <v>154</v>
      </c>
      <c r="B22" s="9">
        <v>1500000</v>
      </c>
      <c r="C22" t="s">
        <v>141</v>
      </c>
      <c r="D22" s="9">
        <v>268800</v>
      </c>
      <c r="H22" s="5" t="s">
        <v>69</v>
      </c>
    </row>
    <row r="23" spans="1:9" x14ac:dyDescent="0.25">
      <c r="A23" t="s">
        <v>155</v>
      </c>
      <c r="B23" s="9">
        <v>7260000</v>
      </c>
      <c r="C23" t="s">
        <v>57</v>
      </c>
      <c r="D23" s="9">
        <v>2260000</v>
      </c>
      <c r="H23" t="s">
        <v>70</v>
      </c>
    </row>
    <row r="24" spans="1:9" x14ac:dyDescent="0.25">
      <c r="A24" t="s">
        <v>17</v>
      </c>
      <c r="B24" s="9">
        <v>416000</v>
      </c>
      <c r="C24" t="s">
        <v>154</v>
      </c>
      <c r="D24" s="9">
        <v>1120400</v>
      </c>
      <c r="H24" s="5" t="s">
        <v>71</v>
      </c>
    </row>
    <row r="25" spans="1:9" x14ac:dyDescent="0.25">
      <c r="A25" t="s">
        <v>156</v>
      </c>
      <c r="B25" s="9">
        <v>4160000</v>
      </c>
      <c r="C25" t="s">
        <v>157</v>
      </c>
      <c r="D25" s="9">
        <v>649900</v>
      </c>
      <c r="H25" t="s">
        <v>72</v>
      </c>
    </row>
    <row r="26" spans="1:9" x14ac:dyDescent="0.25">
      <c r="A26" t="s">
        <v>158</v>
      </c>
      <c r="B26" s="9">
        <v>360000</v>
      </c>
      <c r="C26" t="s">
        <v>60</v>
      </c>
      <c r="D26" s="9">
        <v>5370000</v>
      </c>
      <c r="H26" s="5" t="s">
        <v>73</v>
      </c>
    </row>
    <row r="27" spans="1:9" x14ac:dyDescent="0.25">
      <c r="A27" t="s">
        <v>159</v>
      </c>
      <c r="B27" s="9">
        <v>1860000</v>
      </c>
      <c r="C27" t="s">
        <v>120</v>
      </c>
      <c r="D27" s="9">
        <v>5800000</v>
      </c>
      <c r="H27" t="s">
        <v>74</v>
      </c>
    </row>
    <row r="28" spans="1:9" x14ac:dyDescent="0.25">
      <c r="A28" t="s">
        <v>160</v>
      </c>
      <c r="B28" s="9">
        <v>3460000</v>
      </c>
      <c r="H28" s="5" t="s">
        <v>75</v>
      </c>
    </row>
    <row r="29" spans="1:9" x14ac:dyDescent="0.25">
      <c r="A29" t="s">
        <v>161</v>
      </c>
      <c r="B29" s="9">
        <v>820000</v>
      </c>
      <c r="H29" t="s">
        <v>76</v>
      </c>
    </row>
    <row r="30" spans="1:9" x14ac:dyDescent="0.25">
      <c r="A30" t="s">
        <v>162</v>
      </c>
      <c r="B30" s="9">
        <v>6880000</v>
      </c>
      <c r="H30" s="5" t="s">
        <v>77</v>
      </c>
    </row>
    <row r="31" spans="1:9" x14ac:dyDescent="0.25">
      <c r="A31" t="s">
        <v>163</v>
      </c>
      <c r="B31" s="9">
        <v>380000</v>
      </c>
      <c r="H31" t="s">
        <v>78</v>
      </c>
    </row>
    <row r="32" spans="1:9" x14ac:dyDescent="0.25">
      <c r="A32" t="s">
        <v>164</v>
      </c>
      <c r="B32" s="9">
        <v>4180000</v>
      </c>
      <c r="H32" s="5" t="s">
        <v>79</v>
      </c>
    </row>
    <row r="33" spans="7:8" x14ac:dyDescent="0.25">
      <c r="H33" t="s">
        <v>80</v>
      </c>
    </row>
    <row r="34" spans="7:8" x14ac:dyDescent="0.25">
      <c r="H34" s="5" t="s">
        <v>81</v>
      </c>
    </row>
    <row r="35" spans="7:8" x14ac:dyDescent="0.25">
      <c r="H35" t="s">
        <v>82</v>
      </c>
    </row>
    <row r="36" spans="7:8" x14ac:dyDescent="0.25">
      <c r="H36" s="5" t="s">
        <v>83</v>
      </c>
    </row>
    <row r="37" spans="7:8" x14ac:dyDescent="0.25">
      <c r="H37" t="s">
        <v>84</v>
      </c>
    </row>
    <row r="38" spans="7:8" x14ac:dyDescent="0.25">
      <c r="H38" s="5" t="s">
        <v>85</v>
      </c>
    </row>
    <row r="39" spans="7:8" x14ac:dyDescent="0.25">
      <c r="H39" t="s">
        <v>86</v>
      </c>
    </row>
    <row r="40" spans="7:8" x14ac:dyDescent="0.25">
      <c r="H40" s="5" t="s">
        <v>87</v>
      </c>
    </row>
    <row r="41" spans="7:8" x14ac:dyDescent="0.25">
      <c r="H41" t="s">
        <v>88</v>
      </c>
    </row>
    <row r="42" spans="7:8" x14ac:dyDescent="0.25">
      <c r="H42" s="5" t="s">
        <v>89</v>
      </c>
    </row>
    <row r="43" spans="7:8" x14ac:dyDescent="0.25">
      <c r="G43" s="9">
        <v>-1000000</v>
      </c>
      <c r="H43" t="s">
        <v>165</v>
      </c>
    </row>
    <row r="44" spans="7:8" x14ac:dyDescent="0.25">
      <c r="G44" s="9"/>
    </row>
  </sheetData>
  <pageMargins left="0" right="0" top="0.39370078740157499" bottom="0.39370078740157499" header="0" footer="0"/>
  <pageSetup paperSize="0" fitToWidth="0" fitToHeight="0" orientation="portrait" horizontalDpi="0" verticalDpi="0" copies="0"/>
  <headerFooter>
    <oddHeader>&amp;C&amp;A</oddHeader>
    <oddFooter>&amp;CPágina &amp;P</oddFooter>
  </headerFooter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2"/>
  <sheetViews>
    <sheetView topLeftCell="C1" workbookViewId="0">
      <selection activeCell="G23" sqref="G23"/>
    </sheetView>
  </sheetViews>
  <sheetFormatPr baseColWidth="10" defaultRowHeight="12.5" x14ac:dyDescent="0.25"/>
  <cols>
    <col min="1" max="1" width="16.36328125" hidden="1" customWidth="1"/>
    <col min="2" max="2" width="10.90625" hidden="1" customWidth="1"/>
    <col min="3" max="3" width="14.54296875" bestFit="1" customWidth="1"/>
    <col min="4" max="4" width="10.36328125" style="3" bestFit="1" customWidth="1"/>
    <col min="5" max="5" width="15.36328125" bestFit="1" customWidth="1"/>
    <col min="6" max="6" width="13.7265625" style="3" bestFit="1" customWidth="1"/>
    <col min="7" max="7" width="13.36328125" bestFit="1" customWidth="1"/>
    <col min="8" max="8" width="20.6328125" bestFit="1" customWidth="1"/>
    <col min="9" max="9" width="13.36328125" style="16" bestFit="1" customWidth="1"/>
    <col min="10" max="10" width="3.7265625" bestFit="1" customWidth="1"/>
    <col min="11" max="11" width="18.179687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s="2" t="s">
        <v>10</v>
      </c>
      <c r="I1" s="4" t="s">
        <v>39</v>
      </c>
      <c r="J1" s="5"/>
      <c r="K1" s="4" t="s">
        <v>12</v>
      </c>
      <c r="L1" s="10">
        <f ca="1">TODAY()</f>
        <v>45938</v>
      </c>
    </row>
    <row r="2" spans="1:12" x14ac:dyDescent="0.25">
      <c r="A2" t="s">
        <v>166</v>
      </c>
      <c r="B2">
        <v>2020000</v>
      </c>
      <c r="C2" t="s">
        <v>151</v>
      </c>
      <c r="D2" s="7">
        <v>4050000</v>
      </c>
      <c r="E2" t="s">
        <v>166</v>
      </c>
      <c r="F2" s="7">
        <v>1986800</v>
      </c>
      <c r="G2" s="8">
        <f>SUM(D:D)</f>
        <v>48470033</v>
      </c>
      <c r="H2" s="9">
        <v>42270000</v>
      </c>
      <c r="I2" s="9">
        <v>990000</v>
      </c>
      <c r="J2" s="5" t="s">
        <v>16</v>
      </c>
      <c r="K2" s="6">
        <v>45936</v>
      </c>
    </row>
    <row r="3" spans="1:12" x14ac:dyDescent="0.25">
      <c r="A3" t="s">
        <v>167</v>
      </c>
      <c r="B3">
        <v>2290000</v>
      </c>
      <c r="C3" t="s">
        <v>168</v>
      </c>
      <c r="D3" s="7">
        <v>1530030</v>
      </c>
      <c r="E3" t="s">
        <v>169</v>
      </c>
      <c r="F3" s="7">
        <v>736700</v>
      </c>
      <c r="G3" s="2"/>
      <c r="H3" s="2"/>
      <c r="I3" s="9">
        <v>1200000</v>
      </c>
      <c r="J3" t="s">
        <v>19</v>
      </c>
    </row>
    <row r="4" spans="1:12" x14ac:dyDescent="0.25">
      <c r="A4" t="s">
        <v>170</v>
      </c>
      <c r="B4">
        <v>2000000</v>
      </c>
      <c r="C4" t="s">
        <v>171</v>
      </c>
      <c r="D4" s="7">
        <v>3270000</v>
      </c>
      <c r="E4" t="s">
        <v>172</v>
      </c>
      <c r="F4" s="7">
        <v>993000</v>
      </c>
      <c r="G4" s="2" t="s">
        <v>23</v>
      </c>
      <c r="H4" s="2" t="s">
        <v>24</v>
      </c>
      <c r="I4" s="9">
        <v>690000</v>
      </c>
      <c r="J4" s="5" t="s">
        <v>25</v>
      </c>
      <c r="K4" t="s">
        <v>26</v>
      </c>
      <c r="L4" s="5">
        <f>COUNT('Steaua de grifo'!$D$2:$D$17)</f>
        <v>16</v>
      </c>
    </row>
    <row r="5" spans="1:12" x14ac:dyDescent="0.25">
      <c r="A5" t="s">
        <v>173</v>
      </c>
      <c r="B5">
        <v>1480000</v>
      </c>
      <c r="C5" t="s">
        <v>174</v>
      </c>
      <c r="D5" s="7">
        <v>3570000</v>
      </c>
      <c r="E5" t="s">
        <v>175</v>
      </c>
      <c r="F5" s="7">
        <v>793200</v>
      </c>
      <c r="G5" s="8">
        <f>SUM(F:F)</f>
        <v>28990400</v>
      </c>
      <c r="H5" s="8">
        <f>SUM('Steaua de grifo'!$I$2:$I$7)</f>
        <v>5630000</v>
      </c>
      <c r="I5" s="9">
        <v>710000</v>
      </c>
      <c r="J5" t="s">
        <v>30</v>
      </c>
      <c r="K5" t="s">
        <v>31</v>
      </c>
      <c r="L5" s="5">
        <f>COUNT('Steaua de grifo'!$F$2:$F$18)</f>
        <v>17</v>
      </c>
    </row>
    <row r="6" spans="1:12" x14ac:dyDescent="0.25">
      <c r="A6" t="s">
        <v>176</v>
      </c>
      <c r="B6">
        <v>2910000</v>
      </c>
      <c r="C6" t="s">
        <v>177</v>
      </c>
      <c r="D6" s="7">
        <v>800000</v>
      </c>
      <c r="E6" t="s">
        <v>178</v>
      </c>
      <c r="F6" s="7">
        <v>2976100</v>
      </c>
      <c r="G6" s="2"/>
      <c r="H6" s="2"/>
      <c r="I6" s="9">
        <v>950000</v>
      </c>
      <c r="J6" s="5" t="s">
        <v>34</v>
      </c>
    </row>
    <row r="7" spans="1:12" x14ac:dyDescent="0.25">
      <c r="A7" t="s">
        <v>179</v>
      </c>
      <c r="B7">
        <v>390000</v>
      </c>
      <c r="C7" t="s">
        <v>180</v>
      </c>
      <c r="D7" s="7">
        <v>1720000</v>
      </c>
      <c r="E7" t="s">
        <v>176</v>
      </c>
      <c r="F7" s="7">
        <v>2120400</v>
      </c>
      <c r="G7" s="2" t="s">
        <v>38</v>
      </c>
      <c r="H7" s="2" t="s">
        <v>39</v>
      </c>
      <c r="I7" s="9">
        <v>1090000</v>
      </c>
      <c r="J7" t="s">
        <v>40</v>
      </c>
    </row>
    <row r="8" spans="1:12" x14ac:dyDescent="0.25">
      <c r="A8" t="s">
        <v>181</v>
      </c>
      <c r="B8">
        <v>490000</v>
      </c>
      <c r="C8" t="s">
        <v>182</v>
      </c>
      <c r="D8" s="7">
        <v>1230000</v>
      </c>
      <c r="E8" t="s">
        <v>183</v>
      </c>
      <c r="F8" s="7">
        <v>175300</v>
      </c>
      <c r="G8" s="8">
        <v>18790000</v>
      </c>
      <c r="H8" s="9">
        <f>G14-G8+H2-(40000000-G8)-H5</f>
        <v>1580367</v>
      </c>
      <c r="I8" s="4"/>
      <c r="J8" s="5" t="s">
        <v>43</v>
      </c>
    </row>
    <row r="9" spans="1:12" x14ac:dyDescent="0.25">
      <c r="A9" t="s">
        <v>184</v>
      </c>
      <c r="B9">
        <v>640000</v>
      </c>
      <c r="C9" t="s">
        <v>185</v>
      </c>
      <c r="D9" s="7">
        <v>3520000</v>
      </c>
      <c r="E9" t="s">
        <v>186</v>
      </c>
      <c r="F9" s="7">
        <v>985600</v>
      </c>
      <c r="G9" s="2"/>
      <c r="H9" s="2"/>
      <c r="I9" s="4"/>
      <c r="J9" t="s">
        <v>47</v>
      </c>
    </row>
    <row r="10" spans="1:12" x14ac:dyDescent="0.25">
      <c r="A10" t="s">
        <v>183</v>
      </c>
      <c r="B10">
        <v>200000</v>
      </c>
      <c r="C10" t="s">
        <v>187</v>
      </c>
      <c r="D10" s="7">
        <v>800000</v>
      </c>
      <c r="E10" t="s">
        <v>170</v>
      </c>
      <c r="F10" s="7">
        <v>1916300</v>
      </c>
      <c r="G10" s="2" t="s">
        <v>50</v>
      </c>
      <c r="H10" s="2"/>
      <c r="I10" s="4"/>
      <c r="J10" s="5" t="s">
        <v>51</v>
      </c>
    </row>
    <row r="11" spans="1:12" x14ac:dyDescent="0.25">
      <c r="A11" t="s">
        <v>188</v>
      </c>
      <c r="B11">
        <v>1710000</v>
      </c>
      <c r="C11" t="s">
        <v>189</v>
      </c>
      <c r="D11" s="7">
        <v>2290000</v>
      </c>
      <c r="E11" t="s">
        <v>173</v>
      </c>
      <c r="F11" s="7">
        <v>1573400</v>
      </c>
      <c r="G11" s="9">
        <f>G14+H2/4</f>
        <v>15507867</v>
      </c>
      <c r="H11" s="2"/>
      <c r="I11" s="4"/>
      <c r="J11" t="s">
        <v>53</v>
      </c>
    </row>
    <row r="12" spans="1:12" x14ac:dyDescent="0.25">
      <c r="A12" t="s">
        <v>186</v>
      </c>
      <c r="B12">
        <v>790000</v>
      </c>
      <c r="C12" t="s">
        <v>190</v>
      </c>
      <c r="D12" s="7">
        <v>4400000</v>
      </c>
      <c r="E12" t="s">
        <v>167</v>
      </c>
      <c r="F12" s="7">
        <v>1379200</v>
      </c>
      <c r="J12" s="5" t="s">
        <v>56</v>
      </c>
    </row>
    <row r="13" spans="1:12" x14ac:dyDescent="0.25">
      <c r="A13" t="s">
        <v>169</v>
      </c>
      <c r="B13">
        <v>910000</v>
      </c>
      <c r="C13" t="s">
        <v>191</v>
      </c>
      <c r="D13" s="7">
        <v>1000000</v>
      </c>
      <c r="E13" t="s">
        <v>177</v>
      </c>
      <c r="F13" s="7">
        <v>2710000</v>
      </c>
      <c r="G13" s="2" t="s">
        <v>58</v>
      </c>
      <c r="J13" t="s">
        <v>59</v>
      </c>
    </row>
    <row r="14" spans="1:12" x14ac:dyDescent="0.25">
      <c r="A14" t="s">
        <v>172</v>
      </c>
      <c r="B14">
        <v>1160000</v>
      </c>
      <c r="C14" t="s">
        <v>192</v>
      </c>
      <c r="D14" s="7">
        <v>6050001</v>
      </c>
      <c r="E14" t="s">
        <v>188</v>
      </c>
      <c r="F14" s="7">
        <v>2557600</v>
      </c>
      <c r="G14" s="9">
        <f>G8+G5-G2+H5</f>
        <v>4940367</v>
      </c>
      <c r="J14" s="5" t="s">
        <v>61</v>
      </c>
    </row>
    <row r="15" spans="1:12" x14ac:dyDescent="0.25">
      <c r="A15" t="s">
        <v>175</v>
      </c>
      <c r="B15">
        <v>950000</v>
      </c>
      <c r="C15" t="s">
        <v>193</v>
      </c>
      <c r="D15" s="7">
        <v>7300001</v>
      </c>
      <c r="E15" t="s">
        <v>184</v>
      </c>
      <c r="F15" s="7">
        <v>600000</v>
      </c>
      <c r="J15" t="s">
        <v>62</v>
      </c>
    </row>
    <row r="16" spans="1:12" x14ac:dyDescent="0.25">
      <c r="A16" t="s">
        <v>178</v>
      </c>
      <c r="B16">
        <v>3270000</v>
      </c>
      <c r="C16" t="s">
        <v>194</v>
      </c>
      <c r="D16" s="7">
        <v>3000001</v>
      </c>
      <c r="E16" t="s">
        <v>151</v>
      </c>
      <c r="F16" s="7">
        <v>4220000</v>
      </c>
      <c r="J16" s="5" t="s">
        <v>63</v>
      </c>
    </row>
    <row r="17" spans="2:10" x14ac:dyDescent="0.25">
      <c r="B17" s="5">
        <f>SUM(B2:B16)</f>
        <v>21210000</v>
      </c>
      <c r="C17" s="5" t="s">
        <v>151</v>
      </c>
      <c r="D17" s="7">
        <v>3940000</v>
      </c>
      <c r="E17" t="s">
        <v>191</v>
      </c>
      <c r="F17" s="7">
        <v>784800</v>
      </c>
      <c r="J17" t="s">
        <v>64</v>
      </c>
    </row>
    <row r="18" spans="2:10" x14ac:dyDescent="0.25">
      <c r="E18" t="s">
        <v>151</v>
      </c>
      <c r="F18" s="7">
        <v>2482000</v>
      </c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2"/>
  <sheetViews>
    <sheetView topLeftCell="C9" workbookViewId="0">
      <selection activeCell="E28" sqref="E28:F29"/>
    </sheetView>
  </sheetViews>
  <sheetFormatPr baseColWidth="10" defaultRowHeight="12.5" x14ac:dyDescent="0.25"/>
  <cols>
    <col min="1" max="1" width="15.36328125" hidden="1" customWidth="1"/>
    <col min="2" max="2" width="9.6328125" hidden="1" customWidth="1"/>
    <col min="3" max="3" width="16.1796875" bestFit="1" customWidth="1"/>
    <col min="4" max="4" width="10.90625" style="3" customWidth="1"/>
    <col min="5" max="5" width="16.1796875" bestFit="1" customWidth="1"/>
    <col min="6" max="6" width="14.54296875" style="3" customWidth="1"/>
    <col min="7" max="7" width="14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45938</v>
      </c>
    </row>
    <row r="2" spans="1:12" x14ac:dyDescent="0.25">
      <c r="A2" t="s">
        <v>195</v>
      </c>
      <c r="B2">
        <v>330000</v>
      </c>
      <c r="C2" t="s">
        <v>196</v>
      </c>
      <c r="D2" s="7">
        <v>650000</v>
      </c>
      <c r="E2" t="s">
        <v>195</v>
      </c>
      <c r="F2" s="7">
        <v>323900</v>
      </c>
      <c r="G2" s="8">
        <f>SUM(D:D)</f>
        <v>51590000</v>
      </c>
      <c r="H2" s="9">
        <v>35860000</v>
      </c>
      <c r="I2" s="9">
        <v>620000</v>
      </c>
      <c r="J2" s="5" t="s">
        <v>16</v>
      </c>
      <c r="K2" s="6">
        <v>45935</v>
      </c>
    </row>
    <row r="3" spans="1:12" x14ac:dyDescent="0.25">
      <c r="A3" t="s">
        <v>197</v>
      </c>
      <c r="B3">
        <v>370000</v>
      </c>
      <c r="C3" t="s">
        <v>198</v>
      </c>
      <c r="D3" s="7">
        <v>8000000</v>
      </c>
      <c r="E3" t="s">
        <v>197</v>
      </c>
      <c r="F3" s="7">
        <v>348200</v>
      </c>
      <c r="G3" s="2"/>
      <c r="I3" s="9">
        <v>1110000</v>
      </c>
      <c r="J3" t="s">
        <v>19</v>
      </c>
    </row>
    <row r="4" spans="1:12" x14ac:dyDescent="0.25">
      <c r="A4" t="s">
        <v>55</v>
      </c>
      <c r="B4">
        <v>280000</v>
      </c>
      <c r="C4" t="s">
        <v>54</v>
      </c>
      <c r="D4" s="7">
        <v>1300000</v>
      </c>
      <c r="E4" t="s">
        <v>55</v>
      </c>
      <c r="F4" s="7">
        <v>271400</v>
      </c>
      <c r="G4" s="2" t="s">
        <v>23</v>
      </c>
      <c r="H4" t="s">
        <v>24</v>
      </c>
      <c r="I4" s="9">
        <f>470000+232000</f>
        <v>702000</v>
      </c>
      <c r="J4" s="5" t="s">
        <v>25</v>
      </c>
      <c r="K4" t="s">
        <v>26</v>
      </c>
      <c r="L4" s="5">
        <f>COUNT('Mompia FC'!#REF!)+1</f>
        <v>1</v>
      </c>
    </row>
    <row r="5" spans="1:12" x14ac:dyDescent="0.25">
      <c r="A5" t="s">
        <v>199</v>
      </c>
      <c r="B5">
        <v>210000</v>
      </c>
      <c r="C5" t="s">
        <v>200</v>
      </c>
      <c r="D5" s="7">
        <v>1300000</v>
      </c>
      <c r="E5" t="s">
        <v>199</v>
      </c>
      <c r="F5" s="7">
        <v>207000</v>
      </c>
      <c r="G5" s="8">
        <f>SUM(F:F)</f>
        <v>32528900</v>
      </c>
      <c r="H5" s="8">
        <f>SUM('Mompia FC'!$I$2:$I$7)</f>
        <v>6112000</v>
      </c>
      <c r="I5" s="9">
        <v>1370000</v>
      </c>
      <c r="J5" t="s">
        <v>30</v>
      </c>
      <c r="K5" t="s">
        <v>31</v>
      </c>
      <c r="L5" s="5">
        <f>COUNT('Mompia FC'!$F$2:$F$27)+1</f>
        <v>27</v>
      </c>
    </row>
    <row r="6" spans="1:12" x14ac:dyDescent="0.25">
      <c r="A6" t="s">
        <v>201</v>
      </c>
      <c r="B6">
        <v>640000</v>
      </c>
      <c r="C6" t="s">
        <v>202</v>
      </c>
      <c r="D6" s="7">
        <v>1750000</v>
      </c>
      <c r="E6" t="s">
        <v>54</v>
      </c>
      <c r="F6" s="7">
        <v>938100</v>
      </c>
      <c r="I6" s="9">
        <v>1330000</v>
      </c>
      <c r="J6" s="5" t="s">
        <v>34</v>
      </c>
    </row>
    <row r="7" spans="1:12" x14ac:dyDescent="0.25">
      <c r="A7" t="s">
        <v>203</v>
      </c>
      <c r="B7">
        <v>3630000</v>
      </c>
      <c r="C7" t="s">
        <v>204</v>
      </c>
      <c r="D7" s="7">
        <v>300000</v>
      </c>
      <c r="E7" t="s">
        <v>200</v>
      </c>
      <c r="F7" s="7">
        <v>938300</v>
      </c>
      <c r="G7" s="2" t="s">
        <v>38</v>
      </c>
      <c r="H7" t="s">
        <v>39</v>
      </c>
      <c r="I7" s="9">
        <v>980000</v>
      </c>
      <c r="J7" t="s">
        <v>40</v>
      </c>
    </row>
    <row r="8" spans="1:12" x14ac:dyDescent="0.25">
      <c r="A8" t="s">
        <v>205</v>
      </c>
      <c r="B8">
        <v>1700000</v>
      </c>
      <c r="C8" t="s">
        <v>206</v>
      </c>
      <c r="D8" s="7">
        <v>1400000</v>
      </c>
      <c r="E8" t="s">
        <v>201</v>
      </c>
      <c r="F8" s="7">
        <v>531800</v>
      </c>
      <c r="G8" s="8">
        <v>18740000</v>
      </c>
      <c r="H8" s="9">
        <f>G14-G8+H2-(40000000-G8)-H5</f>
        <v>-4461100</v>
      </c>
      <c r="J8" s="5" t="s">
        <v>43</v>
      </c>
    </row>
    <row r="9" spans="1:12" x14ac:dyDescent="0.25">
      <c r="A9" t="s">
        <v>207</v>
      </c>
      <c r="B9">
        <v>1320000</v>
      </c>
      <c r="C9" t="s">
        <v>200</v>
      </c>
      <c r="D9" s="7">
        <v>1500000</v>
      </c>
      <c r="E9" t="s">
        <v>208</v>
      </c>
      <c r="F9" s="7">
        <v>487400</v>
      </c>
      <c r="J9" t="s">
        <v>47</v>
      </c>
    </row>
    <row r="10" spans="1:12" x14ac:dyDescent="0.25">
      <c r="A10" t="s">
        <v>209</v>
      </c>
      <c r="B10">
        <v>2100000</v>
      </c>
      <c r="C10" t="s">
        <v>210</v>
      </c>
      <c r="D10" s="7">
        <v>2500000</v>
      </c>
      <c r="E10" t="s">
        <v>202</v>
      </c>
      <c r="F10" s="7">
        <v>1130100</v>
      </c>
      <c r="G10" t="s">
        <v>50</v>
      </c>
      <c r="J10" s="5" t="s">
        <v>51</v>
      </c>
    </row>
    <row r="11" spans="1:12" x14ac:dyDescent="0.25">
      <c r="A11" t="s">
        <v>211</v>
      </c>
      <c r="B11">
        <v>2190000</v>
      </c>
      <c r="C11" t="s">
        <v>212</v>
      </c>
      <c r="D11" s="7">
        <v>3500000</v>
      </c>
      <c r="E11" t="s">
        <v>196</v>
      </c>
      <c r="F11" s="7">
        <v>687900</v>
      </c>
      <c r="G11" s="9">
        <f>G14+H2/4</f>
        <v>14755900</v>
      </c>
      <c r="J11" t="s">
        <v>53</v>
      </c>
    </row>
    <row r="12" spans="1:12" x14ac:dyDescent="0.25">
      <c r="A12" t="s">
        <v>213</v>
      </c>
      <c r="B12">
        <v>1420000</v>
      </c>
      <c r="C12" t="s">
        <v>214</v>
      </c>
      <c r="D12" s="7">
        <v>200000</v>
      </c>
      <c r="E12" t="s">
        <v>213</v>
      </c>
      <c r="F12" s="7">
        <v>1000300</v>
      </c>
      <c r="J12" s="5" t="s">
        <v>56</v>
      </c>
    </row>
    <row r="13" spans="1:12" x14ac:dyDescent="0.25">
      <c r="A13" t="s">
        <v>215</v>
      </c>
      <c r="B13">
        <v>2630000</v>
      </c>
      <c r="C13" t="s">
        <v>143</v>
      </c>
      <c r="D13" s="7">
        <v>2000000</v>
      </c>
      <c r="E13" t="s">
        <v>209</v>
      </c>
      <c r="F13" s="7">
        <v>1706500</v>
      </c>
      <c r="G13" s="2" t="s">
        <v>58</v>
      </c>
      <c r="J13" t="s">
        <v>59</v>
      </c>
    </row>
    <row r="14" spans="1:12" x14ac:dyDescent="0.25">
      <c r="A14" t="s">
        <v>216</v>
      </c>
      <c r="B14">
        <v>2380000</v>
      </c>
      <c r="C14" t="s">
        <v>177</v>
      </c>
      <c r="D14" s="7">
        <v>2710000</v>
      </c>
      <c r="E14" t="s">
        <v>210</v>
      </c>
      <c r="F14" s="7">
        <v>1877500</v>
      </c>
      <c r="G14" s="9">
        <f>G8+G5-G2+H5</f>
        <v>5790900</v>
      </c>
      <c r="J14" s="5" t="s">
        <v>61</v>
      </c>
    </row>
    <row r="15" spans="1:12" x14ac:dyDescent="0.25">
      <c r="A15" t="s">
        <v>49</v>
      </c>
      <c r="B15">
        <v>1480000</v>
      </c>
      <c r="C15" t="s">
        <v>217</v>
      </c>
      <c r="D15" s="7">
        <v>8000000</v>
      </c>
      <c r="E15" t="s">
        <v>214</v>
      </c>
      <c r="F15" s="7">
        <v>166700</v>
      </c>
      <c r="J15" t="s">
        <v>62</v>
      </c>
    </row>
    <row r="16" spans="1:12" x14ac:dyDescent="0.25">
      <c r="A16" t="s">
        <v>208</v>
      </c>
      <c r="B16">
        <v>580000</v>
      </c>
      <c r="C16" t="s">
        <v>218</v>
      </c>
      <c r="D16" s="7">
        <v>6200000</v>
      </c>
      <c r="E16" t="s">
        <v>215</v>
      </c>
      <c r="F16" s="7">
        <v>1748500</v>
      </c>
      <c r="J16" s="5" t="s">
        <v>63</v>
      </c>
    </row>
    <row r="17" spans="2:10" x14ac:dyDescent="0.25">
      <c r="B17" s="5">
        <f>SUM(B2:B16)</f>
        <v>21260000</v>
      </c>
      <c r="C17" s="5" t="s">
        <v>184</v>
      </c>
      <c r="D17" s="7">
        <v>600000</v>
      </c>
      <c r="E17" t="s">
        <v>200</v>
      </c>
      <c r="F17" s="7">
        <v>701500</v>
      </c>
      <c r="J17" t="s">
        <v>64</v>
      </c>
    </row>
    <row r="18" spans="2:10" x14ac:dyDescent="0.25">
      <c r="C18" t="s">
        <v>219</v>
      </c>
      <c r="D18" s="7">
        <v>980000</v>
      </c>
      <c r="E18" t="s">
        <v>143</v>
      </c>
      <c r="F18" s="7">
        <v>868500</v>
      </c>
      <c r="J18" s="5" t="s">
        <v>65</v>
      </c>
    </row>
    <row r="19" spans="2:10" x14ac:dyDescent="0.25">
      <c r="C19" t="s">
        <v>220</v>
      </c>
      <c r="D19" s="7">
        <v>2800000</v>
      </c>
      <c r="E19" t="s">
        <v>211</v>
      </c>
      <c r="F19" s="7">
        <v>2523900</v>
      </c>
      <c r="J19" t="s">
        <v>66</v>
      </c>
    </row>
    <row r="20" spans="2:10" x14ac:dyDescent="0.25">
      <c r="C20" t="s">
        <v>221</v>
      </c>
      <c r="D20" s="7">
        <v>3550000</v>
      </c>
      <c r="E20" t="s">
        <v>206</v>
      </c>
      <c r="F20" s="7">
        <v>1486800</v>
      </c>
      <c r="J20" s="5" t="s">
        <v>67</v>
      </c>
    </row>
    <row r="21" spans="2:10" x14ac:dyDescent="0.25">
      <c r="C21" t="s">
        <v>222</v>
      </c>
      <c r="D21" s="7">
        <v>350000</v>
      </c>
      <c r="E21" t="s">
        <v>49</v>
      </c>
      <c r="F21" s="7">
        <v>3700000</v>
      </c>
      <c r="J21" t="s">
        <v>68</v>
      </c>
    </row>
    <row r="22" spans="2:10" x14ac:dyDescent="0.25">
      <c r="C22" t="s">
        <v>13</v>
      </c>
      <c r="D22" s="7">
        <v>2000000</v>
      </c>
      <c r="E22" t="s">
        <v>203</v>
      </c>
      <c r="F22" s="7">
        <v>3485300</v>
      </c>
      <c r="J22" s="5" t="s">
        <v>69</v>
      </c>
    </row>
    <row r="23" spans="2:10" x14ac:dyDescent="0.25">
      <c r="E23" t="s">
        <v>177</v>
      </c>
      <c r="F23" s="7">
        <v>1911300</v>
      </c>
      <c r="J23" t="s">
        <v>70</v>
      </c>
    </row>
    <row r="24" spans="2:10" x14ac:dyDescent="0.25">
      <c r="E24" t="s">
        <v>184</v>
      </c>
      <c r="F24" s="7">
        <v>382200</v>
      </c>
      <c r="J24" s="5" t="s">
        <v>71</v>
      </c>
    </row>
    <row r="25" spans="2:10" x14ac:dyDescent="0.25">
      <c r="E25" t="s">
        <v>207</v>
      </c>
      <c r="F25" s="7">
        <v>2764900</v>
      </c>
      <c r="J25" t="s">
        <v>72</v>
      </c>
    </row>
    <row r="26" spans="2:10" x14ac:dyDescent="0.25">
      <c r="E26" t="s">
        <v>220</v>
      </c>
      <c r="F26" s="7">
        <v>2121200</v>
      </c>
      <c r="J26" s="5" t="s">
        <v>73</v>
      </c>
    </row>
    <row r="27" spans="2:10" x14ac:dyDescent="0.25">
      <c r="E27" t="s">
        <v>222</v>
      </c>
      <c r="F27" s="7">
        <v>219700</v>
      </c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2"/>
  <sheetViews>
    <sheetView topLeftCell="C1" workbookViewId="0">
      <selection activeCell="D23" sqref="D23"/>
    </sheetView>
  </sheetViews>
  <sheetFormatPr baseColWidth="10" defaultRowHeight="12.5" x14ac:dyDescent="0.25"/>
  <cols>
    <col min="1" max="1" width="17.54296875" hidden="1" customWidth="1"/>
    <col min="2" max="2" width="10.90625" hidden="1" customWidth="1"/>
    <col min="3" max="3" width="15.6328125" bestFit="1" customWidth="1"/>
    <col min="4" max="4" width="12.36328125" style="3" bestFit="1" customWidth="1"/>
    <col min="5" max="5" width="17.54296875" bestFit="1" customWidth="1"/>
    <col min="6" max="6" width="13.7265625" style="3" bestFit="1" customWidth="1"/>
    <col min="7" max="7" width="14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45938</v>
      </c>
    </row>
    <row r="2" spans="1:12" x14ac:dyDescent="0.25">
      <c r="A2" t="s">
        <v>223</v>
      </c>
      <c r="B2">
        <v>460000</v>
      </c>
      <c r="C2" t="s">
        <v>154</v>
      </c>
      <c r="D2" s="7">
        <v>1800000</v>
      </c>
      <c r="E2" t="s">
        <v>223</v>
      </c>
      <c r="F2" s="7">
        <v>430700</v>
      </c>
      <c r="G2" s="8">
        <f>SUM(D:D)</f>
        <v>50451021</v>
      </c>
      <c r="H2" s="9">
        <v>38560000</v>
      </c>
      <c r="I2" s="9">
        <v>710000</v>
      </c>
      <c r="J2" s="5" t="s">
        <v>16</v>
      </c>
      <c r="K2" s="6">
        <v>45936</v>
      </c>
    </row>
    <row r="3" spans="1:12" x14ac:dyDescent="0.25">
      <c r="A3" t="s">
        <v>224</v>
      </c>
      <c r="B3">
        <v>590000</v>
      </c>
      <c r="C3" t="s">
        <v>225</v>
      </c>
      <c r="D3" s="7">
        <v>3950000</v>
      </c>
      <c r="E3" t="s">
        <v>224</v>
      </c>
      <c r="F3" s="7">
        <v>558300</v>
      </c>
      <c r="G3" s="2"/>
      <c r="I3" s="9">
        <v>1010000</v>
      </c>
      <c r="J3" t="s">
        <v>19</v>
      </c>
    </row>
    <row r="4" spans="1:12" x14ac:dyDescent="0.25">
      <c r="A4" t="s">
        <v>130</v>
      </c>
      <c r="B4">
        <v>920000</v>
      </c>
      <c r="C4" t="s">
        <v>226</v>
      </c>
      <c r="D4" s="7">
        <v>7300000</v>
      </c>
      <c r="E4" t="s">
        <v>130</v>
      </c>
      <c r="F4" s="7">
        <v>1200000</v>
      </c>
      <c r="G4" s="2" t="s">
        <v>23</v>
      </c>
      <c r="H4" s="2" t="s">
        <v>24</v>
      </c>
      <c r="I4" s="9">
        <v>1030000</v>
      </c>
      <c r="J4" s="5" t="s">
        <v>25</v>
      </c>
      <c r="K4" t="s">
        <v>26</v>
      </c>
      <c r="L4" s="5">
        <f>COUNT('La Piñera'!$D$2:$D$19)</f>
        <v>18</v>
      </c>
    </row>
    <row r="5" spans="1:12" x14ac:dyDescent="0.25">
      <c r="A5" t="s">
        <v>227</v>
      </c>
      <c r="B5">
        <v>1880000</v>
      </c>
      <c r="C5" t="s">
        <v>228</v>
      </c>
      <c r="D5" s="7">
        <v>5700000</v>
      </c>
      <c r="E5" t="s">
        <v>227</v>
      </c>
      <c r="F5" s="7">
        <v>1811900</v>
      </c>
      <c r="G5" s="8">
        <f>SUM(F:F)</f>
        <v>27140400</v>
      </c>
      <c r="H5" s="8">
        <f>SUM('La Piñera'!$I$2:$I$7)</f>
        <v>5930000</v>
      </c>
      <c r="I5" s="9">
        <v>890000</v>
      </c>
      <c r="J5" t="s">
        <v>30</v>
      </c>
      <c r="K5" t="s">
        <v>31</v>
      </c>
      <c r="L5" s="5">
        <f>COUNT('La Piñera'!$F$2:$F$22)</f>
        <v>21</v>
      </c>
    </row>
    <row r="6" spans="1:12" x14ac:dyDescent="0.25">
      <c r="A6" t="s">
        <v>229</v>
      </c>
      <c r="B6">
        <v>720000</v>
      </c>
      <c r="C6" t="s">
        <v>123</v>
      </c>
      <c r="D6" s="7">
        <v>1050000</v>
      </c>
      <c r="E6" t="s">
        <v>229</v>
      </c>
      <c r="F6" s="7">
        <v>678100</v>
      </c>
      <c r="H6" s="2"/>
      <c r="I6" s="9">
        <v>1260000</v>
      </c>
      <c r="J6" s="5" t="s">
        <v>34</v>
      </c>
    </row>
    <row r="7" spans="1:12" x14ac:dyDescent="0.25">
      <c r="A7" t="s">
        <v>57</v>
      </c>
      <c r="B7">
        <v>1770000</v>
      </c>
      <c r="C7" t="s">
        <v>230</v>
      </c>
      <c r="D7" s="7">
        <v>4401000</v>
      </c>
      <c r="E7" t="s">
        <v>57</v>
      </c>
      <c r="F7" s="7">
        <v>1686200</v>
      </c>
      <c r="G7" s="2" t="s">
        <v>38</v>
      </c>
      <c r="H7" t="s">
        <v>39</v>
      </c>
      <c r="I7" s="9">
        <v>1030000</v>
      </c>
      <c r="J7" t="s">
        <v>40</v>
      </c>
    </row>
    <row r="8" spans="1:12" x14ac:dyDescent="0.25">
      <c r="A8" t="s">
        <v>231</v>
      </c>
      <c r="B8">
        <v>200000</v>
      </c>
      <c r="C8" t="s">
        <v>46</v>
      </c>
      <c r="D8" s="7">
        <v>320000</v>
      </c>
      <c r="E8" t="s">
        <v>231</v>
      </c>
      <c r="F8" s="7">
        <v>204200</v>
      </c>
      <c r="G8" s="8">
        <v>18820000</v>
      </c>
      <c r="H8" s="9">
        <f>G14-G8+H2-(40000000-G8)-H5</f>
        <v>-5930621</v>
      </c>
      <c r="J8" s="5" t="s">
        <v>43</v>
      </c>
    </row>
    <row r="9" spans="1:12" x14ac:dyDescent="0.25">
      <c r="A9" t="s">
        <v>202</v>
      </c>
      <c r="B9">
        <v>1540000</v>
      </c>
      <c r="C9" t="s">
        <v>232</v>
      </c>
      <c r="D9" s="7">
        <v>950000</v>
      </c>
      <c r="E9" t="s">
        <v>202</v>
      </c>
      <c r="F9" s="7">
        <v>1750000</v>
      </c>
      <c r="J9" t="s">
        <v>47</v>
      </c>
    </row>
    <row r="10" spans="1:12" x14ac:dyDescent="0.25">
      <c r="A10" t="s">
        <v>233</v>
      </c>
      <c r="B10">
        <v>850000</v>
      </c>
      <c r="C10" t="s">
        <v>234</v>
      </c>
      <c r="D10" s="7">
        <v>1280000</v>
      </c>
      <c r="E10" t="s">
        <v>233</v>
      </c>
      <c r="F10" s="7">
        <v>844300</v>
      </c>
      <c r="G10" s="2" t="s">
        <v>50</v>
      </c>
      <c r="J10" s="5" t="s">
        <v>51</v>
      </c>
    </row>
    <row r="11" spans="1:12" x14ac:dyDescent="0.25">
      <c r="A11" t="s">
        <v>235</v>
      </c>
      <c r="B11">
        <v>650000</v>
      </c>
      <c r="C11" t="s">
        <v>236</v>
      </c>
      <c r="D11" s="7">
        <v>2000000</v>
      </c>
      <c r="E11" t="s">
        <v>235</v>
      </c>
      <c r="F11" s="7">
        <v>551400</v>
      </c>
      <c r="G11" s="9">
        <f>G14+H2/4</f>
        <v>11079379</v>
      </c>
      <c r="J11" t="s">
        <v>53</v>
      </c>
    </row>
    <row r="12" spans="1:12" x14ac:dyDescent="0.25">
      <c r="A12" t="s">
        <v>237</v>
      </c>
      <c r="B12">
        <v>2920000</v>
      </c>
      <c r="C12" t="s">
        <v>238</v>
      </c>
      <c r="D12" s="7">
        <v>899010</v>
      </c>
      <c r="E12" t="s">
        <v>239</v>
      </c>
      <c r="F12" s="7">
        <v>2516300</v>
      </c>
      <c r="J12" s="5" t="s">
        <v>56</v>
      </c>
    </row>
    <row r="13" spans="1:12" x14ac:dyDescent="0.25">
      <c r="A13" t="s">
        <v>240</v>
      </c>
      <c r="B13">
        <v>740000</v>
      </c>
      <c r="C13" t="s">
        <v>241</v>
      </c>
      <c r="D13" s="7">
        <v>7211000</v>
      </c>
      <c r="E13" t="s">
        <v>225</v>
      </c>
      <c r="F13" s="7">
        <v>2891400</v>
      </c>
      <c r="G13" s="2" t="s">
        <v>58</v>
      </c>
      <c r="J13" t="s">
        <v>59</v>
      </c>
    </row>
    <row r="14" spans="1:12" x14ac:dyDescent="0.25">
      <c r="A14" t="s">
        <v>242</v>
      </c>
      <c r="B14">
        <v>2250000</v>
      </c>
      <c r="C14" t="s">
        <v>243</v>
      </c>
      <c r="D14" s="7">
        <v>5524000</v>
      </c>
      <c r="E14" t="s">
        <v>237</v>
      </c>
      <c r="F14" s="7">
        <v>3800000</v>
      </c>
      <c r="G14" s="9">
        <f>G8+G5-G2+H5</f>
        <v>1439379</v>
      </c>
      <c r="J14" s="5" t="s">
        <v>61</v>
      </c>
    </row>
    <row r="15" spans="1:12" x14ac:dyDescent="0.25">
      <c r="A15" t="s">
        <v>244</v>
      </c>
      <c r="B15">
        <v>2450000</v>
      </c>
      <c r="C15" t="s">
        <v>245</v>
      </c>
      <c r="D15" s="7">
        <v>545000</v>
      </c>
      <c r="E15" t="s">
        <v>123</v>
      </c>
      <c r="F15" s="7">
        <v>885400</v>
      </c>
      <c r="J15" t="s">
        <v>62</v>
      </c>
    </row>
    <row r="16" spans="1:12" x14ac:dyDescent="0.25">
      <c r="A16" t="s">
        <v>239</v>
      </c>
      <c r="B16">
        <v>3240000</v>
      </c>
      <c r="C16" t="s">
        <v>246</v>
      </c>
      <c r="D16" s="7">
        <v>4550000</v>
      </c>
      <c r="E16" t="s">
        <v>46</v>
      </c>
      <c r="F16" s="7">
        <v>334700</v>
      </c>
      <c r="J16" s="5" t="s">
        <v>63</v>
      </c>
    </row>
    <row r="17" spans="2:10" x14ac:dyDescent="0.25">
      <c r="B17" s="5">
        <f>SUM(B2:B16)</f>
        <v>21180000</v>
      </c>
      <c r="C17" s="5" t="s">
        <v>247</v>
      </c>
      <c r="D17" s="7">
        <v>2170001</v>
      </c>
      <c r="E17" t="s">
        <v>234</v>
      </c>
      <c r="F17" s="7">
        <v>1097700</v>
      </c>
      <c r="J17" t="s">
        <v>64</v>
      </c>
    </row>
    <row r="18" spans="2:10" x14ac:dyDescent="0.25">
      <c r="C18" t="s">
        <v>248</v>
      </c>
      <c r="D18" s="7">
        <v>200010</v>
      </c>
      <c r="E18" t="s">
        <v>238</v>
      </c>
      <c r="F18" s="7">
        <v>743500</v>
      </c>
      <c r="J18" s="5" t="s">
        <v>65</v>
      </c>
    </row>
    <row r="19" spans="2:10" x14ac:dyDescent="0.25">
      <c r="C19" t="s">
        <v>249</v>
      </c>
      <c r="D19" s="7">
        <v>601000</v>
      </c>
      <c r="E19" t="s">
        <v>242</v>
      </c>
      <c r="F19" s="7">
        <v>2366600</v>
      </c>
      <c r="J19" t="s">
        <v>66</v>
      </c>
    </row>
    <row r="20" spans="2:10" x14ac:dyDescent="0.25">
      <c r="E20" t="s">
        <v>154</v>
      </c>
      <c r="F20" s="7">
        <v>1500000</v>
      </c>
      <c r="J20" s="5" t="s">
        <v>67</v>
      </c>
    </row>
    <row r="21" spans="2:10" x14ac:dyDescent="0.25">
      <c r="E21" t="s">
        <v>245</v>
      </c>
      <c r="F21" s="7">
        <v>485900</v>
      </c>
      <c r="J21" t="s">
        <v>68</v>
      </c>
    </row>
    <row r="22" spans="2:10" x14ac:dyDescent="0.25">
      <c r="E22" t="s">
        <v>240</v>
      </c>
      <c r="F22" s="7">
        <v>803800</v>
      </c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2"/>
  <sheetViews>
    <sheetView tabSelected="1" topLeftCell="C1" workbookViewId="0">
      <selection activeCell="E15" sqref="E15:F28"/>
    </sheetView>
  </sheetViews>
  <sheetFormatPr baseColWidth="10" defaultRowHeight="12.5" x14ac:dyDescent="0.25"/>
  <cols>
    <col min="1" max="2" width="10.90625" hidden="1" customWidth="1"/>
    <col min="3" max="3" width="18" bestFit="1" customWidth="1"/>
    <col min="4" max="4" width="10.90625" style="16" customWidth="1"/>
    <col min="5" max="5" width="15.6328125" bestFit="1" customWidth="1"/>
    <col min="6" max="6" width="10.90625" style="16" customWidth="1"/>
    <col min="7" max="7" width="14" bestFit="1" customWidth="1"/>
    <col min="8" max="8" width="21.81640625" bestFit="1" customWidth="1"/>
    <col min="9" max="9" width="12" style="4" bestFit="1" customWidth="1"/>
    <col min="10" max="10" width="3.54296875" bestFit="1" customWidth="1"/>
    <col min="11" max="11" width="18.36328125" bestFit="1" customWidth="1"/>
    <col min="12" max="12" width="10.90625" customWidth="1"/>
  </cols>
  <sheetData>
    <row r="1" spans="1:12" x14ac:dyDescent="0.25">
      <c r="A1" t="s">
        <v>191</v>
      </c>
      <c r="B1" s="5">
        <v>680000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45938</v>
      </c>
    </row>
    <row r="2" spans="1:12" x14ac:dyDescent="0.25">
      <c r="A2" t="s">
        <v>250</v>
      </c>
      <c r="B2" s="5">
        <v>1340000</v>
      </c>
      <c r="C2" t="s">
        <v>251</v>
      </c>
      <c r="D2" s="7">
        <v>1900000</v>
      </c>
      <c r="E2" s="5" t="s">
        <v>252</v>
      </c>
      <c r="F2" s="7">
        <v>502100</v>
      </c>
      <c r="G2" s="8">
        <f>SUM(D:D)</f>
        <v>34170000</v>
      </c>
      <c r="H2" s="9">
        <v>43890000</v>
      </c>
      <c r="I2" s="9">
        <v>930000</v>
      </c>
      <c r="J2" s="5" t="s">
        <v>16</v>
      </c>
      <c r="K2" s="6">
        <v>45935</v>
      </c>
    </row>
    <row r="3" spans="1:12" x14ac:dyDescent="0.25">
      <c r="A3" t="s">
        <v>253</v>
      </c>
      <c r="B3" s="5">
        <v>1930000</v>
      </c>
      <c r="C3" t="s">
        <v>254</v>
      </c>
      <c r="D3" s="7">
        <v>6000000</v>
      </c>
      <c r="E3" t="s">
        <v>250</v>
      </c>
      <c r="F3" s="7">
        <v>1295200</v>
      </c>
      <c r="G3" s="2"/>
      <c r="I3" s="9">
        <v>990000</v>
      </c>
      <c r="J3" t="s">
        <v>19</v>
      </c>
    </row>
    <row r="4" spans="1:12" x14ac:dyDescent="0.25">
      <c r="A4" t="s">
        <v>255</v>
      </c>
      <c r="B4" s="5">
        <v>1750000</v>
      </c>
      <c r="C4" t="s">
        <v>256</v>
      </c>
      <c r="D4" s="7">
        <v>800000</v>
      </c>
      <c r="E4" t="s">
        <v>257</v>
      </c>
      <c r="F4" s="7">
        <v>667100</v>
      </c>
      <c r="G4" s="2" t="s">
        <v>23</v>
      </c>
      <c r="H4" t="s">
        <v>24</v>
      </c>
      <c r="I4" s="9">
        <v>950000</v>
      </c>
      <c r="J4" s="5" t="s">
        <v>25</v>
      </c>
      <c r="K4" t="s">
        <v>26</v>
      </c>
      <c r="L4" s="5">
        <f>COUNT('Costa norte'!$D$2:$D$10)</f>
        <v>9</v>
      </c>
    </row>
    <row r="5" spans="1:12" x14ac:dyDescent="0.25">
      <c r="A5" t="s">
        <v>258</v>
      </c>
      <c r="B5" s="5">
        <v>1250000</v>
      </c>
      <c r="C5" t="s">
        <v>259</v>
      </c>
      <c r="D5" s="7">
        <v>2800000</v>
      </c>
      <c r="E5" t="s">
        <v>131</v>
      </c>
      <c r="F5" s="7">
        <v>432800</v>
      </c>
      <c r="G5" s="8">
        <f>SUM(F:F)</f>
        <v>16168500</v>
      </c>
      <c r="H5" s="8">
        <f>SUM('Costa norte'!$I$2:$I$5)</f>
        <v>4760000</v>
      </c>
      <c r="I5" s="9">
        <v>1890000</v>
      </c>
      <c r="J5" t="s">
        <v>30</v>
      </c>
      <c r="K5" t="s">
        <v>31</v>
      </c>
      <c r="L5" s="5">
        <f>COUNT('Costa norte'!$F$2:$F$14)</f>
        <v>13</v>
      </c>
    </row>
    <row r="6" spans="1:12" x14ac:dyDescent="0.25">
      <c r="A6" t="s">
        <v>158</v>
      </c>
      <c r="B6" s="5">
        <v>400000</v>
      </c>
      <c r="C6" t="s">
        <v>260</v>
      </c>
      <c r="D6" s="7">
        <v>3900000</v>
      </c>
      <c r="E6" t="s">
        <v>234</v>
      </c>
      <c r="F6" s="7">
        <v>1280000</v>
      </c>
      <c r="I6" s="9">
        <f>480000+156000</f>
        <v>636000</v>
      </c>
      <c r="J6" s="5" t="s">
        <v>34</v>
      </c>
    </row>
    <row r="7" spans="1:12" x14ac:dyDescent="0.25">
      <c r="A7" t="s">
        <v>252</v>
      </c>
      <c r="B7" s="5">
        <v>500000</v>
      </c>
      <c r="C7" t="s">
        <v>237</v>
      </c>
      <c r="D7" s="7">
        <v>3800000</v>
      </c>
      <c r="E7" t="s">
        <v>158</v>
      </c>
      <c r="F7" s="7">
        <v>361800</v>
      </c>
      <c r="G7" s="2" t="s">
        <v>38</v>
      </c>
      <c r="H7" s="2" t="s">
        <v>39</v>
      </c>
      <c r="I7" s="9">
        <v>600000</v>
      </c>
      <c r="J7" t="s">
        <v>40</v>
      </c>
    </row>
    <row r="8" spans="1:12" x14ac:dyDescent="0.25">
      <c r="A8" t="s">
        <v>261</v>
      </c>
      <c r="B8" s="5">
        <v>4320000</v>
      </c>
      <c r="C8" t="s">
        <v>262</v>
      </c>
      <c r="D8" s="7">
        <v>3700000</v>
      </c>
      <c r="E8" t="s">
        <v>263</v>
      </c>
      <c r="F8" s="7">
        <v>1194900</v>
      </c>
      <c r="G8" s="8">
        <f>40000000-B16</f>
        <v>18750000</v>
      </c>
      <c r="H8" s="9">
        <f>G14-G8+H2-(40000000-G8)-H5</f>
        <v>4638500</v>
      </c>
      <c r="J8" s="5" t="s">
        <v>43</v>
      </c>
    </row>
    <row r="9" spans="1:12" x14ac:dyDescent="0.25">
      <c r="A9" t="s">
        <v>263</v>
      </c>
      <c r="B9" s="5">
        <v>1120000</v>
      </c>
      <c r="C9" t="s">
        <v>264</v>
      </c>
      <c r="D9" s="7">
        <v>7000000</v>
      </c>
      <c r="E9" t="s">
        <v>191</v>
      </c>
      <c r="F9" s="7">
        <v>1000000</v>
      </c>
      <c r="J9" t="s">
        <v>47</v>
      </c>
    </row>
    <row r="10" spans="1:12" x14ac:dyDescent="0.25">
      <c r="A10" t="s">
        <v>265</v>
      </c>
      <c r="B10" s="5">
        <v>3200000</v>
      </c>
      <c r="C10" t="s">
        <v>266</v>
      </c>
      <c r="D10" s="7">
        <v>4270000</v>
      </c>
      <c r="E10" t="s">
        <v>237</v>
      </c>
      <c r="F10" s="7">
        <v>2817200</v>
      </c>
      <c r="G10" s="2" t="s">
        <v>50</v>
      </c>
      <c r="J10" s="5" t="s">
        <v>51</v>
      </c>
    </row>
    <row r="11" spans="1:12" x14ac:dyDescent="0.25">
      <c r="A11" t="s">
        <v>234</v>
      </c>
      <c r="B11" s="5">
        <v>1440000</v>
      </c>
      <c r="D11" s="3"/>
      <c r="E11" t="s">
        <v>260</v>
      </c>
      <c r="F11" s="7">
        <v>2693600</v>
      </c>
      <c r="G11" s="9">
        <f>G14+H2/4</f>
        <v>16481000</v>
      </c>
      <c r="J11" t="s">
        <v>53</v>
      </c>
    </row>
    <row r="12" spans="1:12" x14ac:dyDescent="0.25">
      <c r="A12" t="s">
        <v>131</v>
      </c>
      <c r="B12" s="5">
        <v>430000</v>
      </c>
      <c r="D12" s="3"/>
      <c r="E12" t="s">
        <v>259</v>
      </c>
      <c r="F12" s="7">
        <v>1922100</v>
      </c>
      <c r="G12" s="2"/>
      <c r="J12" s="5" t="s">
        <v>56</v>
      </c>
    </row>
    <row r="13" spans="1:12" x14ac:dyDescent="0.25">
      <c r="A13" t="s">
        <v>267</v>
      </c>
      <c r="B13" s="5">
        <v>1740000</v>
      </c>
      <c r="D13" s="3"/>
      <c r="E13" t="s">
        <v>255</v>
      </c>
      <c r="F13" s="7">
        <v>1497300</v>
      </c>
      <c r="G13" s="2" t="s">
        <v>58</v>
      </c>
      <c r="J13" t="s">
        <v>59</v>
      </c>
    </row>
    <row r="14" spans="1:12" x14ac:dyDescent="0.25">
      <c r="A14" t="s">
        <v>268</v>
      </c>
      <c r="B14" s="5">
        <v>470000</v>
      </c>
      <c r="D14" s="3"/>
      <c r="E14" t="s">
        <v>256</v>
      </c>
      <c r="F14" s="7">
        <v>504400</v>
      </c>
      <c r="G14" s="9">
        <f>G8+G5-G2+H5</f>
        <v>5508500</v>
      </c>
      <c r="J14" s="5" t="s">
        <v>61</v>
      </c>
    </row>
    <row r="15" spans="1:12" x14ac:dyDescent="0.25">
      <c r="A15" t="s">
        <v>257</v>
      </c>
      <c r="B15" s="5">
        <v>680000</v>
      </c>
      <c r="D15" s="3"/>
      <c r="F15" s="3"/>
      <c r="J15" t="s">
        <v>62</v>
      </c>
    </row>
    <row r="16" spans="1:12" x14ac:dyDescent="0.25">
      <c r="B16" s="5">
        <f>SUM(B1:B15)</f>
        <v>21250000</v>
      </c>
      <c r="D16" s="3"/>
      <c r="F16" s="3"/>
      <c r="J16" s="5" t="s">
        <v>63</v>
      </c>
    </row>
    <row r="17" spans="4:10" x14ac:dyDescent="0.25">
      <c r="D17" s="3"/>
      <c r="F17" s="3"/>
      <c r="J17" t="s">
        <v>64</v>
      </c>
    </row>
    <row r="18" spans="4:10" x14ac:dyDescent="0.25">
      <c r="D18" s="3"/>
      <c r="F18" s="3"/>
      <c r="J18" s="5" t="s">
        <v>65</v>
      </c>
    </row>
    <row r="19" spans="4:10" x14ac:dyDescent="0.25">
      <c r="D19" s="3"/>
      <c r="F19" s="3"/>
      <c r="J19" t="s">
        <v>66</v>
      </c>
    </row>
    <row r="20" spans="4:10" x14ac:dyDescent="0.25">
      <c r="D20" s="3"/>
      <c r="F20" s="3"/>
      <c r="J20" s="5" t="s">
        <v>67</v>
      </c>
    </row>
    <row r="21" spans="4:10" x14ac:dyDescent="0.25">
      <c r="D21" s="3"/>
      <c r="F21" s="3"/>
      <c r="J21" t="s">
        <v>68</v>
      </c>
    </row>
    <row r="22" spans="4:10" x14ac:dyDescent="0.25">
      <c r="D22" s="3"/>
      <c r="F22" s="3"/>
      <c r="J22" s="5" t="s">
        <v>69</v>
      </c>
    </row>
    <row r="23" spans="4:10" x14ac:dyDescent="0.25">
      <c r="D23" s="3"/>
      <c r="F23" s="3"/>
      <c r="J23" t="s">
        <v>70</v>
      </c>
    </row>
    <row r="24" spans="4:10" x14ac:dyDescent="0.25">
      <c r="D24" s="3"/>
      <c r="F24" s="3"/>
      <c r="J24" s="5" t="s">
        <v>71</v>
      </c>
    </row>
    <row r="25" spans="4:10" x14ac:dyDescent="0.25">
      <c r="D25" s="3"/>
      <c r="F25" s="3"/>
      <c r="J25" t="s">
        <v>72</v>
      </c>
    </row>
    <row r="26" spans="4:10" x14ac:dyDescent="0.25">
      <c r="D26" s="3"/>
      <c r="F26" s="3"/>
      <c r="J26" s="5" t="s">
        <v>73</v>
      </c>
    </row>
    <row r="27" spans="4:10" x14ac:dyDescent="0.25">
      <c r="D27" s="3"/>
      <c r="F27" s="3"/>
      <c r="J27" t="s">
        <v>74</v>
      </c>
    </row>
    <row r="28" spans="4:10" x14ac:dyDescent="0.25">
      <c r="D28" s="3"/>
      <c r="F28" s="3"/>
      <c r="J28" s="5" t="s">
        <v>75</v>
      </c>
    </row>
    <row r="29" spans="4:10" x14ac:dyDescent="0.25">
      <c r="D29" s="3"/>
      <c r="F29" s="3"/>
      <c r="J29" t="s">
        <v>76</v>
      </c>
    </row>
    <row r="30" spans="4:10" x14ac:dyDescent="0.25">
      <c r="D30" s="3"/>
      <c r="F30" s="3"/>
      <c r="J30" s="5" t="s">
        <v>77</v>
      </c>
    </row>
    <row r="31" spans="4:10" x14ac:dyDescent="0.25">
      <c r="D31" s="3"/>
      <c r="F31" s="3"/>
      <c r="J31" t="s">
        <v>78</v>
      </c>
    </row>
    <row r="32" spans="4:10" x14ac:dyDescent="0.25">
      <c r="D32" s="3"/>
      <c r="F32" s="3"/>
      <c r="J32" s="5" t="s">
        <v>79</v>
      </c>
    </row>
    <row r="33" spans="4:10" x14ac:dyDescent="0.25">
      <c r="D33" s="3"/>
      <c r="F33" s="3"/>
      <c r="J33" t="s">
        <v>80</v>
      </c>
    </row>
    <row r="34" spans="4:10" x14ac:dyDescent="0.25">
      <c r="D34" s="3"/>
      <c r="F34" s="3"/>
      <c r="J34" s="5" t="s">
        <v>81</v>
      </c>
    </row>
    <row r="35" spans="4:10" x14ac:dyDescent="0.25">
      <c r="D35" s="3"/>
      <c r="F35" s="3"/>
      <c r="J35" t="s">
        <v>82</v>
      </c>
    </row>
    <row r="36" spans="4:10" x14ac:dyDescent="0.25">
      <c r="D36" s="3"/>
      <c r="F36" s="3"/>
      <c r="J36" s="5" t="s">
        <v>83</v>
      </c>
    </row>
    <row r="37" spans="4:10" x14ac:dyDescent="0.25">
      <c r="D37" s="3"/>
      <c r="F37" s="3"/>
      <c r="J37" t="s">
        <v>84</v>
      </c>
    </row>
    <row r="38" spans="4:10" x14ac:dyDescent="0.25">
      <c r="D38" s="3"/>
      <c r="F38" s="3"/>
      <c r="J38" s="5" t="s">
        <v>85</v>
      </c>
    </row>
    <row r="39" spans="4:10" x14ac:dyDescent="0.25">
      <c r="D39" s="3"/>
      <c r="F39" s="3"/>
      <c r="J39" t="s">
        <v>86</v>
      </c>
    </row>
    <row r="40" spans="4:10" x14ac:dyDescent="0.25">
      <c r="D40" s="3"/>
      <c r="F40" s="3"/>
      <c r="J40" s="5" t="s">
        <v>87</v>
      </c>
    </row>
    <row r="41" spans="4:10" x14ac:dyDescent="0.25">
      <c r="D41" s="3"/>
      <c r="F41" s="3"/>
      <c r="J41" t="s">
        <v>88</v>
      </c>
    </row>
    <row r="42" spans="4:10" x14ac:dyDescent="0.25">
      <c r="D42" s="3"/>
      <c r="F42" s="3"/>
      <c r="J42" s="5" t="s">
        <v>89</v>
      </c>
    </row>
  </sheetData>
  <hyperlinks>
    <hyperlink ref="A1" r:id="rId1" xr:uid="{00000000-0004-0000-0700-000000000000}"/>
    <hyperlink ref="A2" r:id="rId2" xr:uid="{00000000-0004-0000-0700-000001000000}"/>
    <hyperlink ref="A3" r:id="rId3" xr:uid="{00000000-0004-0000-0700-000002000000}"/>
    <hyperlink ref="A4" r:id="rId4" xr:uid="{00000000-0004-0000-0700-000003000000}"/>
    <hyperlink ref="A5" r:id="rId5" xr:uid="{00000000-0004-0000-0700-000004000000}"/>
    <hyperlink ref="A6" r:id="rId6" xr:uid="{00000000-0004-0000-0700-000005000000}"/>
    <hyperlink ref="A7" r:id="rId7" xr:uid="{00000000-0004-0000-0700-000006000000}"/>
    <hyperlink ref="A8" r:id="rId8" xr:uid="{00000000-0004-0000-0700-000007000000}"/>
    <hyperlink ref="A9" r:id="rId9" xr:uid="{00000000-0004-0000-0700-000008000000}"/>
    <hyperlink ref="A10" r:id="rId10" xr:uid="{00000000-0004-0000-0700-000009000000}"/>
    <hyperlink ref="A11" r:id="rId11" xr:uid="{00000000-0004-0000-0700-00000A000000}"/>
    <hyperlink ref="A12" r:id="rId12" xr:uid="{00000000-0004-0000-0700-00000B000000}"/>
    <hyperlink ref="A13" r:id="rId13" xr:uid="{00000000-0004-0000-0700-00000C000000}"/>
    <hyperlink ref="A14" r:id="rId14" xr:uid="{00000000-0004-0000-0700-00000D000000}"/>
    <hyperlink ref="A15" r:id="rId15" xr:uid="{00000000-0004-0000-0700-00000E000000}"/>
  </hyperlinks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6"/>
    <tablePart r:id="rId17"/>
    <tablePart r:id="rId1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42"/>
  <sheetViews>
    <sheetView topLeftCell="C1" workbookViewId="0">
      <selection activeCell="H18" sqref="H18"/>
    </sheetView>
  </sheetViews>
  <sheetFormatPr baseColWidth="10" defaultRowHeight="12.5" x14ac:dyDescent="0.25"/>
  <cols>
    <col min="1" max="1" width="19.90625" hidden="1" customWidth="1"/>
    <col min="2" max="2" width="9.90625" hidden="1" customWidth="1"/>
    <col min="3" max="3" width="10.90625" customWidth="1"/>
    <col min="4" max="4" width="10.90625" style="3" customWidth="1"/>
    <col min="5" max="5" width="10.90625" customWidth="1"/>
    <col min="6" max="6" width="11.7265625" style="3" bestFit="1" customWidth="1"/>
    <col min="7" max="7" width="14" bestFit="1" customWidth="1"/>
    <col min="8" max="8" width="21.81640625" bestFit="1" customWidth="1"/>
    <col min="9" max="9" width="14.2695312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x14ac:dyDescent="0.25">
      <c r="A1" t="s">
        <v>269</v>
      </c>
      <c r="B1" t="s">
        <v>4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45938</v>
      </c>
    </row>
    <row r="2" spans="1:12" x14ac:dyDescent="0.25">
      <c r="A2" t="s">
        <v>270</v>
      </c>
      <c r="B2">
        <v>670000</v>
      </c>
      <c r="D2" s="7"/>
      <c r="E2" s="5"/>
      <c r="F2" s="7"/>
      <c r="G2" s="8">
        <f>SUM(D:D)</f>
        <v>0</v>
      </c>
      <c r="H2" s="9">
        <v>26040000</v>
      </c>
      <c r="I2" s="9">
        <v>810000</v>
      </c>
      <c r="J2" s="5" t="s">
        <v>16</v>
      </c>
      <c r="K2" s="6">
        <v>45936</v>
      </c>
    </row>
    <row r="3" spans="1:12" x14ac:dyDescent="0.25">
      <c r="A3" t="s">
        <v>271</v>
      </c>
      <c r="B3">
        <v>1330000</v>
      </c>
      <c r="D3" s="7"/>
      <c r="F3" s="7"/>
      <c r="G3" s="2"/>
      <c r="I3" s="9">
        <v>1250000</v>
      </c>
      <c r="J3" t="s">
        <v>19</v>
      </c>
    </row>
    <row r="4" spans="1:12" x14ac:dyDescent="0.25">
      <c r="A4" t="s">
        <v>272</v>
      </c>
      <c r="B4">
        <v>2020000</v>
      </c>
      <c r="D4" s="7"/>
      <c r="G4" s="2" t="s">
        <v>23</v>
      </c>
      <c r="H4" t="s">
        <v>24</v>
      </c>
      <c r="I4" s="9">
        <v>1130000</v>
      </c>
      <c r="J4" s="5" t="s">
        <v>25</v>
      </c>
      <c r="K4" t="s">
        <v>26</v>
      </c>
      <c r="L4" s="5">
        <f>COUNT('Lábaro FC'!$D$2)</f>
        <v>0</v>
      </c>
    </row>
    <row r="5" spans="1:12" x14ac:dyDescent="0.25">
      <c r="A5" t="s">
        <v>273</v>
      </c>
      <c r="B5">
        <v>460000</v>
      </c>
      <c r="D5" s="7"/>
      <c r="G5" s="8">
        <f>SUM(F:F)</f>
        <v>0</v>
      </c>
      <c r="H5" s="8">
        <f>SUM('Lábaro FC'!$I$2:$I$7)</f>
        <v>6200000</v>
      </c>
      <c r="I5" s="9">
        <v>1010000</v>
      </c>
      <c r="J5" t="s">
        <v>30</v>
      </c>
      <c r="K5" t="s">
        <v>31</v>
      </c>
      <c r="L5" s="5">
        <f>COUNT('Lábaro FC'!$F$2)</f>
        <v>0</v>
      </c>
    </row>
    <row r="6" spans="1:12" x14ac:dyDescent="0.25">
      <c r="A6" t="s">
        <v>274</v>
      </c>
      <c r="B6">
        <v>270000</v>
      </c>
      <c r="D6" s="7"/>
      <c r="I6" s="9">
        <v>1140000</v>
      </c>
      <c r="J6" s="5" t="s">
        <v>34</v>
      </c>
    </row>
    <row r="7" spans="1:12" x14ac:dyDescent="0.25">
      <c r="A7" t="s">
        <v>275</v>
      </c>
      <c r="B7">
        <v>440000</v>
      </c>
      <c r="G7" s="2" t="s">
        <v>38</v>
      </c>
      <c r="H7" s="2" t="s">
        <v>39</v>
      </c>
      <c r="I7" s="9">
        <v>860000</v>
      </c>
      <c r="J7" t="s">
        <v>40</v>
      </c>
    </row>
    <row r="8" spans="1:12" x14ac:dyDescent="0.25">
      <c r="A8" t="s">
        <v>276</v>
      </c>
      <c r="B8">
        <v>240000</v>
      </c>
      <c r="G8" s="8">
        <v>18950000</v>
      </c>
      <c r="H8" s="9">
        <f>G14-G8+H2-(40000000-G8)-H5</f>
        <v>4990000</v>
      </c>
      <c r="J8" s="5" t="s">
        <v>43</v>
      </c>
    </row>
    <row r="9" spans="1:12" x14ac:dyDescent="0.25">
      <c r="A9" t="s">
        <v>277</v>
      </c>
      <c r="B9">
        <v>3330000</v>
      </c>
      <c r="J9" t="s">
        <v>47</v>
      </c>
    </row>
    <row r="10" spans="1:12" x14ac:dyDescent="0.25">
      <c r="A10" t="s">
        <v>278</v>
      </c>
      <c r="B10">
        <v>3160000</v>
      </c>
      <c r="G10" s="2" t="s">
        <v>50</v>
      </c>
      <c r="J10" s="5" t="s">
        <v>51</v>
      </c>
    </row>
    <row r="11" spans="1:12" x14ac:dyDescent="0.25">
      <c r="A11" t="s">
        <v>279</v>
      </c>
      <c r="B11">
        <v>1670000</v>
      </c>
      <c r="G11" s="9">
        <f>G8+H2/4</f>
        <v>25460000</v>
      </c>
      <c r="J11" t="s">
        <v>53</v>
      </c>
    </row>
    <row r="12" spans="1:12" x14ac:dyDescent="0.25">
      <c r="A12" t="s">
        <v>280</v>
      </c>
      <c r="B12">
        <v>1150000</v>
      </c>
      <c r="J12" s="5" t="s">
        <v>56</v>
      </c>
    </row>
    <row r="13" spans="1:12" x14ac:dyDescent="0.25">
      <c r="A13" t="s">
        <v>281</v>
      </c>
      <c r="B13">
        <v>150000</v>
      </c>
      <c r="G13" s="2" t="s">
        <v>58</v>
      </c>
      <c r="J13" t="s">
        <v>59</v>
      </c>
    </row>
    <row r="14" spans="1:12" x14ac:dyDescent="0.25">
      <c r="A14" t="s">
        <v>282</v>
      </c>
      <c r="B14">
        <v>3580000</v>
      </c>
      <c r="G14" s="9">
        <f>G8+G5-G2+H5</f>
        <v>25150000</v>
      </c>
      <c r="J14" s="5" t="s">
        <v>61</v>
      </c>
    </row>
    <row r="15" spans="1:12" x14ac:dyDescent="0.25">
      <c r="A15" t="s">
        <v>283</v>
      </c>
      <c r="B15">
        <v>310000</v>
      </c>
      <c r="J15" t="s">
        <v>62</v>
      </c>
    </row>
    <row r="16" spans="1:12" x14ac:dyDescent="0.25">
      <c r="A16" t="s">
        <v>284</v>
      </c>
      <c r="B16">
        <v>2270000</v>
      </c>
      <c r="J16" s="5" t="s">
        <v>63</v>
      </c>
    </row>
    <row r="17" spans="2:10" x14ac:dyDescent="0.25">
      <c r="B17">
        <v>21050000</v>
      </c>
      <c r="J17" t="s">
        <v>64</v>
      </c>
    </row>
    <row r="18" spans="2:10" x14ac:dyDescent="0.25"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2"/>
  <sheetViews>
    <sheetView topLeftCell="C1" workbookViewId="0">
      <selection activeCell="G2" sqref="G2"/>
    </sheetView>
  </sheetViews>
  <sheetFormatPr baseColWidth="10" defaultRowHeight="12.5" x14ac:dyDescent="0.25"/>
  <cols>
    <col min="1" max="1" width="18.08984375" hidden="1" customWidth="1"/>
    <col min="2" max="2" width="10.90625" hidden="1" customWidth="1"/>
    <col min="3" max="3" width="15.54296875" bestFit="1" customWidth="1"/>
    <col min="4" max="4" width="10.36328125" style="16" bestFit="1" customWidth="1"/>
    <col min="5" max="5" width="15" bestFit="1" customWidth="1"/>
    <col min="6" max="6" width="11.7265625" style="16" bestFit="1" customWidth="1"/>
    <col min="7" max="7" width="14" bestFit="1" customWidth="1"/>
    <col min="8" max="8" width="21.81640625" bestFit="1" customWidth="1"/>
    <col min="9" max="9" width="10.90625" style="4" customWidth="1"/>
    <col min="10" max="10" width="10.90625" customWidth="1"/>
    <col min="11" max="11" width="18.3632812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45938</v>
      </c>
    </row>
    <row r="2" spans="1:12" x14ac:dyDescent="0.25">
      <c r="A2" t="s">
        <v>285</v>
      </c>
      <c r="B2" s="17">
        <v>3410000</v>
      </c>
      <c r="C2" t="s">
        <v>286</v>
      </c>
      <c r="D2" s="7">
        <v>3125001</v>
      </c>
      <c r="E2" s="5" t="s">
        <v>287</v>
      </c>
      <c r="F2" s="7">
        <v>144500</v>
      </c>
      <c r="G2" s="8">
        <f>SUM(D:D)</f>
        <v>31806064</v>
      </c>
      <c r="H2" s="9">
        <v>41260000</v>
      </c>
      <c r="I2" s="9">
        <v>930000</v>
      </c>
      <c r="J2" s="5" t="s">
        <v>16</v>
      </c>
      <c r="K2" s="6">
        <v>45936</v>
      </c>
    </row>
    <row r="3" spans="1:12" x14ac:dyDescent="0.25">
      <c r="A3" t="s">
        <v>222</v>
      </c>
      <c r="B3" s="17">
        <v>200000</v>
      </c>
      <c r="C3" t="s">
        <v>288</v>
      </c>
      <c r="D3" s="7">
        <v>4680000</v>
      </c>
      <c r="E3" t="s">
        <v>289</v>
      </c>
      <c r="F3" s="7">
        <v>235400</v>
      </c>
      <c r="G3" s="2"/>
      <c r="I3" s="9">
        <v>1370000</v>
      </c>
      <c r="J3" t="s">
        <v>19</v>
      </c>
    </row>
    <row r="4" spans="1:12" x14ac:dyDescent="0.25">
      <c r="A4" t="s">
        <v>290</v>
      </c>
      <c r="B4" s="17">
        <v>1610000</v>
      </c>
      <c r="C4" t="s">
        <v>291</v>
      </c>
      <c r="D4" s="7">
        <v>4581000</v>
      </c>
      <c r="E4" t="s">
        <v>292</v>
      </c>
      <c r="F4" s="7">
        <v>566300</v>
      </c>
      <c r="G4" s="2" t="s">
        <v>23</v>
      </c>
      <c r="H4" t="s">
        <v>24</v>
      </c>
      <c r="I4" s="9">
        <v>950000</v>
      </c>
      <c r="J4" s="5" t="s">
        <v>25</v>
      </c>
      <c r="K4" t="s">
        <v>26</v>
      </c>
      <c r="L4" s="5">
        <f>COUNT(Cacafuti!$D$2:$D$11)</f>
        <v>10</v>
      </c>
    </row>
    <row r="5" spans="1:12" x14ac:dyDescent="0.25">
      <c r="A5" t="s">
        <v>293</v>
      </c>
      <c r="B5" s="17">
        <v>2050000</v>
      </c>
      <c r="C5" t="s">
        <v>294</v>
      </c>
      <c r="D5" s="7">
        <v>1004041</v>
      </c>
      <c r="E5" t="s">
        <v>295</v>
      </c>
      <c r="F5" s="7">
        <v>2199700</v>
      </c>
      <c r="G5" s="8">
        <f>SUM(F:F)</f>
        <v>7131600</v>
      </c>
      <c r="H5" s="8">
        <f>SUM(Cacafuti!$I$2:$I$7)</f>
        <v>6590000</v>
      </c>
      <c r="I5" s="9">
        <v>1310000</v>
      </c>
      <c r="J5" t="s">
        <v>30</v>
      </c>
      <c r="K5" t="s">
        <v>31</v>
      </c>
      <c r="L5" s="5">
        <f>COUNT(Cacafuti!$F$2:$F$10)</f>
        <v>9</v>
      </c>
    </row>
    <row r="6" spans="1:12" x14ac:dyDescent="0.25">
      <c r="A6" t="s">
        <v>292</v>
      </c>
      <c r="B6" s="17">
        <v>690000</v>
      </c>
      <c r="C6" t="s">
        <v>296</v>
      </c>
      <c r="D6" s="7">
        <v>4950010</v>
      </c>
      <c r="E6" t="s">
        <v>297</v>
      </c>
      <c r="F6" s="7">
        <v>1649400</v>
      </c>
      <c r="I6" s="9">
        <v>920000</v>
      </c>
      <c r="J6" s="5" t="s">
        <v>34</v>
      </c>
    </row>
    <row r="7" spans="1:12" x14ac:dyDescent="0.25">
      <c r="A7" t="s">
        <v>298</v>
      </c>
      <c r="B7" s="17">
        <v>1170000</v>
      </c>
      <c r="C7" t="s">
        <v>147</v>
      </c>
      <c r="D7" s="7">
        <v>1120000</v>
      </c>
      <c r="E7" t="s">
        <v>298</v>
      </c>
      <c r="F7" s="7">
        <v>907400</v>
      </c>
      <c r="G7" s="2" t="s">
        <v>38</v>
      </c>
      <c r="H7" s="2" t="s">
        <v>39</v>
      </c>
      <c r="I7" s="9">
        <v>1110000</v>
      </c>
      <c r="J7" t="s">
        <v>40</v>
      </c>
    </row>
    <row r="8" spans="1:12" x14ac:dyDescent="0.25">
      <c r="A8" t="s">
        <v>299</v>
      </c>
      <c r="B8" s="17">
        <v>560000</v>
      </c>
      <c r="C8" t="s">
        <v>300</v>
      </c>
      <c r="D8" s="7">
        <v>6251001</v>
      </c>
      <c r="E8" t="s">
        <v>222</v>
      </c>
      <c r="F8" s="7">
        <v>350000</v>
      </c>
      <c r="G8" s="8">
        <f>40000000-B17</f>
        <v>18870000</v>
      </c>
      <c r="H8" s="9">
        <f>G14-G8+H2-(40000000-G8)-H5</f>
        <v>-4544464</v>
      </c>
      <c r="J8" s="5" t="s">
        <v>43</v>
      </c>
    </row>
    <row r="9" spans="1:12" x14ac:dyDescent="0.25">
      <c r="A9" t="s">
        <v>301</v>
      </c>
      <c r="B9" s="17">
        <v>3370000</v>
      </c>
      <c r="C9" t="s">
        <v>112</v>
      </c>
      <c r="D9" s="7">
        <v>1460000</v>
      </c>
      <c r="E9" t="s">
        <v>302</v>
      </c>
      <c r="F9" s="7">
        <v>386500</v>
      </c>
      <c r="J9" t="s">
        <v>47</v>
      </c>
    </row>
    <row r="10" spans="1:12" x14ac:dyDescent="0.25">
      <c r="A10" t="s">
        <v>297</v>
      </c>
      <c r="B10" s="17">
        <v>2550000</v>
      </c>
      <c r="C10" t="s">
        <v>303</v>
      </c>
      <c r="D10" s="7">
        <v>775010</v>
      </c>
      <c r="E10" t="s">
        <v>294</v>
      </c>
      <c r="F10" s="7">
        <v>692400</v>
      </c>
      <c r="G10" s="2" t="s">
        <v>50</v>
      </c>
      <c r="J10" s="5" t="s">
        <v>51</v>
      </c>
    </row>
    <row r="11" spans="1:12" x14ac:dyDescent="0.25">
      <c r="A11" t="s">
        <v>295</v>
      </c>
      <c r="B11" s="17">
        <v>2690000</v>
      </c>
      <c r="C11" t="s">
        <v>304</v>
      </c>
      <c r="D11" s="7">
        <v>3860001</v>
      </c>
      <c r="F11" s="3"/>
      <c r="G11" s="9">
        <f>G14+H2/4</f>
        <v>11100536</v>
      </c>
      <c r="J11" t="s">
        <v>53</v>
      </c>
    </row>
    <row r="12" spans="1:12" x14ac:dyDescent="0.25">
      <c r="A12" t="s">
        <v>305</v>
      </c>
      <c r="B12" s="17">
        <v>160000</v>
      </c>
      <c r="D12" s="3"/>
      <c r="F12" s="3"/>
      <c r="G12" s="2"/>
      <c r="J12" s="5" t="s">
        <v>56</v>
      </c>
    </row>
    <row r="13" spans="1:12" x14ac:dyDescent="0.25">
      <c r="A13" t="s">
        <v>289</v>
      </c>
      <c r="B13" s="17">
        <v>240000</v>
      </c>
      <c r="D13" s="3"/>
      <c r="F13" s="3"/>
      <c r="G13" s="2" t="s">
        <v>58</v>
      </c>
      <c r="J13" t="s">
        <v>59</v>
      </c>
    </row>
    <row r="14" spans="1:12" x14ac:dyDescent="0.25">
      <c r="A14" t="s">
        <v>306</v>
      </c>
      <c r="B14" s="17">
        <v>1640000</v>
      </c>
      <c r="D14" s="3"/>
      <c r="F14" s="3"/>
      <c r="G14" s="9">
        <f>G8+G5-G2+H5</f>
        <v>785536</v>
      </c>
      <c r="J14" s="5" t="s">
        <v>61</v>
      </c>
    </row>
    <row r="15" spans="1:12" x14ac:dyDescent="0.25">
      <c r="A15" t="s">
        <v>302</v>
      </c>
      <c r="B15" s="17">
        <v>640000</v>
      </c>
      <c r="D15" s="3"/>
      <c r="F15" s="3"/>
      <c r="J15" t="s">
        <v>62</v>
      </c>
    </row>
    <row r="16" spans="1:12" x14ac:dyDescent="0.25">
      <c r="A16" t="s">
        <v>287</v>
      </c>
      <c r="B16" s="17">
        <v>150000</v>
      </c>
      <c r="D16" s="3"/>
      <c r="F16" s="3"/>
      <c r="J16" s="5" t="s">
        <v>63</v>
      </c>
    </row>
    <row r="17" spans="2:10" x14ac:dyDescent="0.25">
      <c r="B17" s="18">
        <f>SUM(B2:B16)</f>
        <v>21130000</v>
      </c>
      <c r="D17" s="3"/>
      <c r="F17" s="3"/>
      <c r="J17" t="s">
        <v>64</v>
      </c>
    </row>
    <row r="18" spans="2:10" x14ac:dyDescent="0.25">
      <c r="D18" s="3"/>
      <c r="F18" s="3"/>
      <c r="J18" s="5" t="s">
        <v>65</v>
      </c>
    </row>
    <row r="19" spans="2:10" x14ac:dyDescent="0.25">
      <c r="D19" s="3"/>
      <c r="F19" s="3"/>
      <c r="J19" t="s">
        <v>66</v>
      </c>
    </row>
    <row r="20" spans="2:10" x14ac:dyDescent="0.25">
      <c r="D20" s="3"/>
      <c r="F20" s="3"/>
      <c r="J20" s="5" t="s">
        <v>67</v>
      </c>
    </row>
    <row r="21" spans="2:10" x14ac:dyDescent="0.25">
      <c r="D21" s="3"/>
      <c r="F21" s="3"/>
      <c r="J21" t="s">
        <v>68</v>
      </c>
    </row>
    <row r="22" spans="2:10" x14ac:dyDescent="0.25">
      <c r="D22" s="3"/>
      <c r="F22" s="3"/>
      <c r="J22" s="5" t="s">
        <v>69</v>
      </c>
    </row>
    <row r="23" spans="2:10" x14ac:dyDescent="0.25">
      <c r="D23" s="3"/>
      <c r="F23" s="3"/>
      <c r="J23" t="s">
        <v>70</v>
      </c>
    </row>
    <row r="24" spans="2:10" x14ac:dyDescent="0.25">
      <c r="D24" s="3"/>
      <c r="F24" s="3"/>
      <c r="J24" s="5" t="s">
        <v>71</v>
      </c>
    </row>
    <row r="25" spans="2:10" x14ac:dyDescent="0.25">
      <c r="D25" s="3"/>
      <c r="F25" s="3"/>
      <c r="J25" t="s">
        <v>72</v>
      </c>
    </row>
    <row r="26" spans="2:10" x14ac:dyDescent="0.25">
      <c r="D26" s="3"/>
      <c r="F26" s="3"/>
      <c r="J26" s="5" t="s">
        <v>73</v>
      </c>
    </row>
    <row r="27" spans="2:10" x14ac:dyDescent="0.25">
      <c r="D27" s="3"/>
      <c r="F27" s="3"/>
      <c r="J27" t="s">
        <v>74</v>
      </c>
    </row>
    <row r="28" spans="2:10" x14ac:dyDescent="0.25">
      <c r="D28" s="3"/>
      <c r="F28" s="3"/>
      <c r="J28" s="5" t="s">
        <v>75</v>
      </c>
    </row>
    <row r="29" spans="2:10" x14ac:dyDescent="0.25">
      <c r="D29" s="3"/>
      <c r="F29" s="3"/>
      <c r="J29" t="s">
        <v>76</v>
      </c>
    </row>
    <row r="30" spans="2:10" x14ac:dyDescent="0.25">
      <c r="D30" s="3"/>
      <c r="F30" s="3"/>
      <c r="J30" s="5" t="s">
        <v>77</v>
      </c>
    </row>
    <row r="31" spans="2:10" x14ac:dyDescent="0.25">
      <c r="D31" s="3"/>
      <c r="F31" s="3"/>
      <c r="J31" t="s">
        <v>78</v>
      </c>
    </row>
    <row r="32" spans="2:10" x14ac:dyDescent="0.25">
      <c r="D32" s="3"/>
      <c r="F32" s="3"/>
      <c r="J32" s="5" t="s">
        <v>79</v>
      </c>
    </row>
    <row r="33" spans="4:10" x14ac:dyDescent="0.25">
      <c r="D33" s="3"/>
      <c r="F33" s="3"/>
      <c r="J33" t="s">
        <v>80</v>
      </c>
    </row>
    <row r="34" spans="4:10" x14ac:dyDescent="0.25">
      <c r="D34" s="3"/>
      <c r="F34" s="3"/>
      <c r="J34" s="5" t="s">
        <v>81</v>
      </c>
    </row>
    <row r="35" spans="4:10" x14ac:dyDescent="0.25">
      <c r="D35" s="3"/>
      <c r="F35" s="3"/>
      <c r="J35" t="s">
        <v>82</v>
      </c>
    </row>
    <row r="36" spans="4:10" x14ac:dyDescent="0.25">
      <c r="D36" s="3"/>
      <c r="F36" s="3"/>
      <c r="J36" s="5" t="s">
        <v>83</v>
      </c>
    </row>
    <row r="37" spans="4:10" x14ac:dyDescent="0.25">
      <c r="D37" s="3"/>
      <c r="F37" s="3"/>
      <c r="J37" t="s">
        <v>84</v>
      </c>
    </row>
    <row r="38" spans="4:10" x14ac:dyDescent="0.25">
      <c r="D38" s="3"/>
      <c r="F38" s="3"/>
      <c r="J38" s="5" t="s">
        <v>85</v>
      </c>
    </row>
    <row r="39" spans="4:10" x14ac:dyDescent="0.25">
      <c r="D39" s="3"/>
      <c r="F39" s="3"/>
      <c r="J39" t="s">
        <v>86</v>
      </c>
    </row>
    <row r="40" spans="4:10" x14ac:dyDescent="0.25">
      <c r="D40" s="3"/>
      <c r="F40" s="3"/>
      <c r="J40" s="5" t="s">
        <v>87</v>
      </c>
    </row>
    <row r="41" spans="4:10" x14ac:dyDescent="0.25">
      <c r="D41" s="3"/>
      <c r="F41" s="3"/>
      <c r="J41" t="s">
        <v>88</v>
      </c>
    </row>
    <row r="42" spans="4:10" x14ac:dyDescent="0.25">
      <c r="D42" s="3"/>
      <c r="F42" s="3"/>
      <c r="J42" s="5" t="s">
        <v>89</v>
      </c>
    </row>
  </sheetData>
  <hyperlinks>
    <hyperlink ref="A2" r:id="rId1" xr:uid="{00000000-0004-0000-0900-000000000000}"/>
    <hyperlink ref="A3" r:id="rId2" xr:uid="{00000000-0004-0000-0900-000001000000}"/>
    <hyperlink ref="A4" r:id="rId3" xr:uid="{00000000-0004-0000-0900-000002000000}"/>
    <hyperlink ref="A5" r:id="rId4" xr:uid="{00000000-0004-0000-0900-000003000000}"/>
    <hyperlink ref="A6" r:id="rId5" xr:uid="{00000000-0004-0000-0900-000004000000}"/>
    <hyperlink ref="A7" r:id="rId6" xr:uid="{00000000-0004-0000-0900-000005000000}"/>
    <hyperlink ref="A8" r:id="rId7" xr:uid="{00000000-0004-0000-0900-000006000000}"/>
    <hyperlink ref="A9" r:id="rId8" xr:uid="{00000000-0004-0000-0900-000007000000}"/>
    <hyperlink ref="A10" r:id="rId9" xr:uid="{00000000-0004-0000-0900-000008000000}"/>
    <hyperlink ref="A11" r:id="rId10" xr:uid="{00000000-0004-0000-0900-000009000000}"/>
    <hyperlink ref="A12" r:id="rId11" xr:uid="{00000000-0004-0000-0900-00000A000000}"/>
    <hyperlink ref="A13" r:id="rId12" xr:uid="{00000000-0004-0000-0900-00000B000000}"/>
    <hyperlink ref="A14" r:id="rId13" xr:uid="{00000000-0004-0000-0900-00000C000000}"/>
    <hyperlink ref="A15" r:id="rId14" xr:uid="{00000000-0004-0000-0900-00000D000000}"/>
    <hyperlink ref="A16" r:id="rId15" xr:uid="{00000000-0004-0000-0900-00000E000000}"/>
  </hyperlinks>
  <pageMargins left="0.70000000000000007" right="0.70000000000000007" top="0.75" bottom="0.75" header="0.3" footer="0.3"/>
  <tableParts count="3">
    <tablePart r:id="rId16"/>
    <tablePart r:id="rId17"/>
    <tablePart r:id="rId1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5"/>
  <sheetViews>
    <sheetView topLeftCell="C1" workbookViewId="0">
      <selection activeCell="K2" sqref="K2"/>
    </sheetView>
  </sheetViews>
  <sheetFormatPr baseColWidth="10" defaultRowHeight="12.5" x14ac:dyDescent="0.25"/>
  <cols>
    <col min="1" max="1" width="16.7265625" hidden="1" customWidth="1"/>
    <col min="2" max="2" width="10.90625" hidden="1" customWidth="1"/>
    <col min="3" max="3" width="17" bestFit="1" customWidth="1"/>
    <col min="4" max="4" width="10.90625" style="7" customWidth="1"/>
    <col min="5" max="5" width="15.81640625" bestFit="1" customWidth="1"/>
    <col min="6" max="6" width="10.90625" style="7" customWidth="1"/>
    <col min="7" max="7" width="12.90625" bestFit="1" customWidth="1"/>
    <col min="8" max="8" width="21.81640625" bestFit="1" customWidth="1"/>
    <col min="9" max="9" width="10.90625" style="16" customWidth="1"/>
    <col min="10" max="10" width="3.54296875" bestFit="1" customWidth="1"/>
    <col min="11" max="11" width="18.36328125" bestFit="1" customWidth="1"/>
    <col min="12" max="12" width="10.90625" customWidth="1"/>
  </cols>
  <sheetData>
    <row r="1" spans="1:12" x14ac:dyDescent="0.25">
      <c r="A1" t="s">
        <v>195</v>
      </c>
      <c r="B1" s="17">
        <v>920000</v>
      </c>
      <c r="C1" s="2" t="s">
        <v>5</v>
      </c>
      <c r="D1" s="7" t="s">
        <v>6</v>
      </c>
      <c r="E1" s="2" t="s">
        <v>7</v>
      </c>
      <c r="F1" s="7" t="s">
        <v>8</v>
      </c>
      <c r="G1" s="2" t="s">
        <v>9</v>
      </c>
      <c r="H1" t="s">
        <v>10</v>
      </c>
      <c r="I1" s="16" t="s">
        <v>11</v>
      </c>
      <c r="J1" s="5"/>
      <c r="K1" s="4" t="s">
        <v>12</v>
      </c>
      <c r="L1" s="10">
        <f ca="1">TODAY()</f>
        <v>45938</v>
      </c>
    </row>
    <row r="2" spans="1:12" x14ac:dyDescent="0.25">
      <c r="A2" t="s">
        <v>227</v>
      </c>
      <c r="B2" s="17">
        <v>1470000</v>
      </c>
      <c r="C2" t="s">
        <v>307</v>
      </c>
      <c r="D2" s="7">
        <v>685000</v>
      </c>
      <c r="E2" s="5" t="s">
        <v>308</v>
      </c>
      <c r="F2" s="7">
        <v>1127200</v>
      </c>
      <c r="G2" s="8">
        <f>SUM(D:D)</f>
        <v>62231000</v>
      </c>
      <c r="H2" s="9">
        <v>44490000</v>
      </c>
      <c r="I2" s="9">
        <v>930000</v>
      </c>
      <c r="J2" s="5" t="s">
        <v>16</v>
      </c>
      <c r="K2" s="6">
        <v>45935</v>
      </c>
    </row>
    <row r="3" spans="1:12" x14ac:dyDescent="0.25">
      <c r="A3" t="s">
        <v>309</v>
      </c>
      <c r="B3" s="17">
        <v>1380000</v>
      </c>
      <c r="C3" t="s">
        <v>310</v>
      </c>
      <c r="D3" s="7">
        <v>8521000</v>
      </c>
      <c r="E3" t="s">
        <v>227</v>
      </c>
      <c r="F3" s="7">
        <v>1413200</v>
      </c>
      <c r="G3" s="2"/>
      <c r="I3" s="9">
        <v>1090000</v>
      </c>
      <c r="J3" t="s">
        <v>19</v>
      </c>
    </row>
    <row r="4" spans="1:12" x14ac:dyDescent="0.25">
      <c r="A4" t="s">
        <v>311</v>
      </c>
      <c r="B4" s="17">
        <v>150000</v>
      </c>
      <c r="C4" t="s">
        <v>312</v>
      </c>
      <c r="D4" s="7">
        <v>13852000</v>
      </c>
      <c r="E4" t="s">
        <v>313</v>
      </c>
      <c r="F4" s="7">
        <v>772100</v>
      </c>
      <c r="G4" s="2" t="s">
        <v>23</v>
      </c>
      <c r="H4" t="s">
        <v>24</v>
      </c>
      <c r="I4" s="9">
        <v>760000</v>
      </c>
      <c r="J4" s="5" t="s">
        <v>25</v>
      </c>
      <c r="K4" t="s">
        <v>26</v>
      </c>
      <c r="L4" s="5">
        <f>COUNT('Luis Padrique'!$D$2:$D$14)</f>
        <v>13</v>
      </c>
    </row>
    <row r="5" spans="1:12" x14ac:dyDescent="0.25">
      <c r="A5" t="s">
        <v>308</v>
      </c>
      <c r="B5" s="17">
        <v>1120000</v>
      </c>
      <c r="C5" t="s">
        <v>314</v>
      </c>
      <c r="D5" s="7">
        <v>325000</v>
      </c>
      <c r="E5" t="s">
        <v>315</v>
      </c>
      <c r="F5" s="7">
        <v>617600</v>
      </c>
      <c r="G5" s="8">
        <f>SUM(F:F)</f>
        <v>35989000</v>
      </c>
      <c r="H5" s="8">
        <f>SUM('Luis Padrique'!$I$2:$I$7)</f>
        <v>6470000</v>
      </c>
      <c r="I5" s="9">
        <v>960000</v>
      </c>
      <c r="J5" t="s">
        <v>30</v>
      </c>
      <c r="K5" t="s">
        <v>31</v>
      </c>
      <c r="L5" s="5">
        <f>COUNT('Luis Padrique'!$F$2:$F$20)</f>
        <v>19</v>
      </c>
    </row>
    <row r="6" spans="1:12" x14ac:dyDescent="0.25">
      <c r="A6" t="s">
        <v>313</v>
      </c>
      <c r="B6" s="17">
        <v>800000</v>
      </c>
      <c r="C6" t="s">
        <v>316</v>
      </c>
      <c r="D6" s="7">
        <v>14525000</v>
      </c>
      <c r="E6" t="s">
        <v>163</v>
      </c>
      <c r="F6" s="7">
        <v>159600</v>
      </c>
      <c r="I6" s="9">
        <v>1380000</v>
      </c>
      <c r="J6" s="5" t="s">
        <v>34</v>
      </c>
    </row>
    <row r="7" spans="1:12" x14ac:dyDescent="0.25">
      <c r="A7" t="s">
        <v>317</v>
      </c>
      <c r="B7" s="17">
        <v>250000</v>
      </c>
      <c r="C7" t="s">
        <v>318</v>
      </c>
      <c r="D7" s="7">
        <v>515000</v>
      </c>
      <c r="E7" t="s">
        <v>317</v>
      </c>
      <c r="F7" s="7">
        <v>218600</v>
      </c>
      <c r="G7" s="2" t="s">
        <v>38</v>
      </c>
      <c r="H7" s="2" t="s">
        <v>39</v>
      </c>
      <c r="I7" s="9">
        <v>1350000</v>
      </c>
      <c r="J7" t="s">
        <v>40</v>
      </c>
    </row>
    <row r="8" spans="1:12" x14ac:dyDescent="0.25">
      <c r="A8" t="s">
        <v>319</v>
      </c>
      <c r="B8" s="17">
        <v>3880000</v>
      </c>
      <c r="C8" t="s">
        <v>320</v>
      </c>
      <c r="D8" s="7">
        <v>1852000</v>
      </c>
      <c r="E8" t="s">
        <v>321</v>
      </c>
      <c r="F8" s="7">
        <v>3145800</v>
      </c>
      <c r="G8" s="8">
        <f>40000000-B16</f>
        <v>18740000</v>
      </c>
      <c r="H8" s="9">
        <f>G14-G8+H2-(40000000-G8)-H5</f>
        <v>-3012000</v>
      </c>
      <c r="I8" s="9"/>
      <c r="J8" s="5" t="s">
        <v>43</v>
      </c>
    </row>
    <row r="9" spans="1:12" x14ac:dyDescent="0.25">
      <c r="A9" t="s">
        <v>322</v>
      </c>
      <c r="B9" s="17">
        <v>1630000</v>
      </c>
      <c r="C9" t="s">
        <v>323</v>
      </c>
      <c r="D9" s="7">
        <v>4865000</v>
      </c>
      <c r="E9" t="s">
        <v>236</v>
      </c>
      <c r="F9" s="7">
        <v>2000000</v>
      </c>
      <c r="G9" s="2"/>
      <c r="I9" s="9"/>
      <c r="J9" t="s">
        <v>47</v>
      </c>
    </row>
    <row r="10" spans="1:12" x14ac:dyDescent="0.25">
      <c r="A10" t="s">
        <v>321</v>
      </c>
      <c r="B10" s="17">
        <v>3740000</v>
      </c>
      <c r="C10" t="s">
        <v>324</v>
      </c>
      <c r="D10" s="7">
        <v>5535000</v>
      </c>
      <c r="E10" t="s">
        <v>310</v>
      </c>
      <c r="F10" s="7">
        <v>5484700</v>
      </c>
      <c r="G10" s="2" t="s">
        <v>50</v>
      </c>
      <c r="I10" s="9"/>
      <c r="J10" s="5" t="s">
        <v>51</v>
      </c>
    </row>
    <row r="11" spans="1:12" x14ac:dyDescent="0.25">
      <c r="A11" t="s">
        <v>315</v>
      </c>
      <c r="B11" s="17">
        <v>650000</v>
      </c>
      <c r="C11" t="s">
        <v>233</v>
      </c>
      <c r="D11" s="7">
        <v>1515000</v>
      </c>
      <c r="E11" t="s">
        <v>114</v>
      </c>
      <c r="F11" s="7">
        <v>2565000</v>
      </c>
      <c r="G11" s="9">
        <f>G14+H2/4</f>
        <v>10090500</v>
      </c>
      <c r="I11" s="9"/>
      <c r="J11" t="s">
        <v>53</v>
      </c>
    </row>
    <row r="12" spans="1:12" x14ac:dyDescent="0.25">
      <c r="A12" t="s">
        <v>163</v>
      </c>
      <c r="B12" s="17">
        <v>160000</v>
      </c>
      <c r="C12" t="s">
        <v>325</v>
      </c>
      <c r="D12" s="7">
        <v>2956000</v>
      </c>
      <c r="E12" t="s">
        <v>15</v>
      </c>
      <c r="F12" s="7">
        <v>884500</v>
      </c>
      <c r="G12" s="2"/>
      <c r="I12" s="9"/>
      <c r="J12" s="5" t="s">
        <v>56</v>
      </c>
    </row>
    <row r="13" spans="1:12" x14ac:dyDescent="0.25">
      <c r="A13" t="s">
        <v>236</v>
      </c>
      <c r="B13" s="17">
        <v>1140000</v>
      </c>
      <c r="C13" t="s">
        <v>120</v>
      </c>
      <c r="D13" s="7">
        <v>5800000</v>
      </c>
      <c r="E13" t="s">
        <v>307</v>
      </c>
      <c r="F13" s="7">
        <v>426200</v>
      </c>
      <c r="G13" s="2" t="s">
        <v>58</v>
      </c>
      <c r="I13" s="9"/>
      <c r="J13" t="s">
        <v>59</v>
      </c>
    </row>
    <row r="14" spans="1:12" x14ac:dyDescent="0.25">
      <c r="A14" t="s">
        <v>114</v>
      </c>
      <c r="B14" s="17">
        <v>2940000</v>
      </c>
      <c r="C14" t="s">
        <v>297</v>
      </c>
      <c r="D14" s="7">
        <v>1285000</v>
      </c>
      <c r="E14" t="s">
        <v>311</v>
      </c>
      <c r="F14" s="7">
        <v>522900</v>
      </c>
      <c r="G14" s="9">
        <f>G8+G5-G2+H5</f>
        <v>-1032000</v>
      </c>
      <c r="I14" s="9"/>
      <c r="J14" s="5" t="s">
        <v>61</v>
      </c>
    </row>
    <row r="15" spans="1:12" x14ac:dyDescent="0.25">
      <c r="A15" t="s">
        <v>15</v>
      </c>
      <c r="B15" s="17">
        <v>1030000</v>
      </c>
      <c r="E15" t="s">
        <v>195</v>
      </c>
      <c r="F15" s="7">
        <v>2052600</v>
      </c>
      <c r="I15" s="9"/>
      <c r="J15" t="s">
        <v>62</v>
      </c>
    </row>
    <row r="16" spans="1:12" x14ac:dyDescent="0.25">
      <c r="B16" s="5">
        <v>21260000</v>
      </c>
      <c r="E16" t="s">
        <v>309</v>
      </c>
      <c r="F16" s="7">
        <v>2257800</v>
      </c>
      <c r="I16" s="9"/>
      <c r="J16" s="5" t="s">
        <v>63</v>
      </c>
    </row>
    <row r="17" spans="5:10" x14ac:dyDescent="0.25">
      <c r="E17" t="s">
        <v>319</v>
      </c>
      <c r="F17" s="7">
        <v>5800000</v>
      </c>
      <c r="I17" s="9"/>
      <c r="J17" t="s">
        <v>64</v>
      </c>
    </row>
    <row r="18" spans="5:10" x14ac:dyDescent="0.25">
      <c r="E18" t="s">
        <v>320</v>
      </c>
      <c r="F18" s="7">
        <v>973400</v>
      </c>
      <c r="I18" s="9"/>
      <c r="J18" s="5" t="s">
        <v>65</v>
      </c>
    </row>
    <row r="19" spans="5:10" x14ac:dyDescent="0.25">
      <c r="E19" t="s">
        <v>324</v>
      </c>
      <c r="F19" s="7">
        <v>4807700</v>
      </c>
      <c r="I19" s="9"/>
      <c r="J19" t="s">
        <v>66</v>
      </c>
    </row>
    <row r="20" spans="5:10" x14ac:dyDescent="0.25">
      <c r="E20" t="s">
        <v>318</v>
      </c>
      <c r="F20" s="7">
        <v>760100</v>
      </c>
      <c r="I20" s="9"/>
      <c r="J20" s="5" t="s">
        <v>67</v>
      </c>
    </row>
    <row r="21" spans="5:10" x14ac:dyDescent="0.25">
      <c r="I21" s="9"/>
      <c r="J21" t="s">
        <v>68</v>
      </c>
    </row>
    <row r="22" spans="5:10" x14ac:dyDescent="0.25">
      <c r="I22" s="9"/>
      <c r="J22" s="5" t="s">
        <v>69</v>
      </c>
    </row>
    <row r="23" spans="5:10" x14ac:dyDescent="0.25">
      <c r="I23" s="9"/>
      <c r="J23" t="s">
        <v>70</v>
      </c>
    </row>
    <row r="24" spans="5:10" x14ac:dyDescent="0.25">
      <c r="I24" s="9"/>
      <c r="J24" s="5" t="s">
        <v>71</v>
      </c>
    </row>
    <row r="25" spans="5:10" x14ac:dyDescent="0.25">
      <c r="I25" s="9"/>
      <c r="J25" t="s">
        <v>72</v>
      </c>
    </row>
    <row r="26" spans="5:10" x14ac:dyDescent="0.25">
      <c r="I26" s="9"/>
      <c r="J26" s="5" t="s">
        <v>73</v>
      </c>
    </row>
    <row r="27" spans="5:10" x14ac:dyDescent="0.25">
      <c r="I27" s="9"/>
      <c r="J27" t="s">
        <v>74</v>
      </c>
    </row>
    <row r="28" spans="5:10" x14ac:dyDescent="0.25">
      <c r="I28" s="9"/>
      <c r="J28" s="5" t="s">
        <v>75</v>
      </c>
    </row>
    <row r="29" spans="5:10" x14ac:dyDescent="0.25">
      <c r="I29" s="9"/>
      <c r="J29" t="s">
        <v>76</v>
      </c>
    </row>
    <row r="30" spans="5:10" x14ac:dyDescent="0.25">
      <c r="I30" s="9"/>
      <c r="J30" s="5" t="s">
        <v>77</v>
      </c>
    </row>
    <row r="31" spans="5:10" x14ac:dyDescent="0.25">
      <c r="I31" s="9"/>
      <c r="J31" t="s">
        <v>78</v>
      </c>
    </row>
    <row r="32" spans="5:10" x14ac:dyDescent="0.25">
      <c r="I32" s="9"/>
      <c r="J32" s="5" t="s">
        <v>79</v>
      </c>
    </row>
    <row r="33" spans="9:10" x14ac:dyDescent="0.25">
      <c r="I33" s="9"/>
      <c r="J33" t="s">
        <v>80</v>
      </c>
    </row>
    <row r="34" spans="9:10" x14ac:dyDescent="0.25">
      <c r="I34" s="9"/>
      <c r="J34" s="5" t="s">
        <v>81</v>
      </c>
    </row>
    <row r="35" spans="9:10" x14ac:dyDescent="0.25">
      <c r="I35" s="9"/>
      <c r="J35" t="s">
        <v>82</v>
      </c>
    </row>
    <row r="36" spans="9:10" x14ac:dyDescent="0.25">
      <c r="I36" s="9"/>
      <c r="J36" s="5" t="s">
        <v>83</v>
      </c>
    </row>
    <row r="37" spans="9:10" x14ac:dyDescent="0.25">
      <c r="I37" s="9"/>
      <c r="J37" t="s">
        <v>84</v>
      </c>
    </row>
    <row r="38" spans="9:10" x14ac:dyDescent="0.25">
      <c r="I38" s="9"/>
      <c r="J38" s="5" t="s">
        <v>85</v>
      </c>
    </row>
    <row r="39" spans="9:10" x14ac:dyDescent="0.25">
      <c r="I39" s="9"/>
      <c r="J39" t="s">
        <v>86</v>
      </c>
    </row>
    <row r="40" spans="9:10" x14ac:dyDescent="0.25">
      <c r="I40" s="9"/>
      <c r="J40" s="5" t="s">
        <v>87</v>
      </c>
    </row>
    <row r="41" spans="9:10" x14ac:dyDescent="0.25">
      <c r="I41" s="9"/>
      <c r="J41" t="s">
        <v>88</v>
      </c>
    </row>
    <row r="42" spans="9:10" x14ac:dyDescent="0.25">
      <c r="I42" s="9"/>
      <c r="J42" s="5" t="s">
        <v>89</v>
      </c>
    </row>
    <row r="45" spans="9:10" x14ac:dyDescent="0.25">
      <c r="I45" s="9"/>
    </row>
  </sheetData>
  <hyperlinks>
    <hyperlink ref="A1" r:id="rId1" xr:uid="{00000000-0004-0000-0A00-000000000000}"/>
    <hyperlink ref="A2" r:id="rId2" xr:uid="{00000000-0004-0000-0A00-000001000000}"/>
    <hyperlink ref="A3" r:id="rId3" xr:uid="{00000000-0004-0000-0A00-000002000000}"/>
    <hyperlink ref="A4" r:id="rId4" xr:uid="{00000000-0004-0000-0A00-000003000000}"/>
    <hyperlink ref="A5" r:id="rId5" xr:uid="{00000000-0004-0000-0A00-000004000000}"/>
    <hyperlink ref="A6" r:id="rId6" xr:uid="{00000000-0004-0000-0A00-000005000000}"/>
    <hyperlink ref="A7" r:id="rId7" xr:uid="{00000000-0004-0000-0A00-000006000000}"/>
    <hyperlink ref="A8" r:id="rId8" xr:uid="{00000000-0004-0000-0A00-000007000000}"/>
    <hyperlink ref="A9" r:id="rId9" xr:uid="{00000000-0004-0000-0A00-000008000000}"/>
    <hyperlink ref="A10" r:id="rId10" xr:uid="{00000000-0004-0000-0A00-000009000000}"/>
    <hyperlink ref="A11" r:id="rId11" xr:uid="{00000000-0004-0000-0A00-00000A000000}"/>
    <hyperlink ref="A12" r:id="rId12" xr:uid="{00000000-0004-0000-0A00-00000B000000}"/>
    <hyperlink ref="A13" r:id="rId13" xr:uid="{00000000-0004-0000-0A00-00000C000000}"/>
    <hyperlink ref="A14" r:id="rId14" xr:uid="{00000000-0004-0000-0A00-00000D000000}"/>
    <hyperlink ref="A15" r:id="rId15" xr:uid="{00000000-0004-0000-0A00-00000E000000}"/>
  </hyperlinks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6"/>
    <tablePart r:id="rId17"/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44"/>
  <sheetViews>
    <sheetView topLeftCell="C8" workbookViewId="0">
      <selection activeCell="H19" sqref="H19"/>
    </sheetView>
  </sheetViews>
  <sheetFormatPr baseColWidth="10" defaultRowHeight="12.5" x14ac:dyDescent="0.25"/>
  <cols>
    <col min="1" max="2" width="21" hidden="1" customWidth="1"/>
    <col min="3" max="3" width="15.36328125" customWidth="1"/>
    <col min="4" max="4" width="13.08984375" style="3" customWidth="1"/>
    <col min="5" max="5" width="16.7265625" bestFit="1" customWidth="1"/>
    <col min="6" max="6" width="10.90625" style="3" customWidth="1"/>
    <col min="7" max="7" width="14" bestFit="1" customWidth="1"/>
    <col min="8" max="8" width="21.81640625" bestFit="1" customWidth="1"/>
    <col min="9" max="9" width="13.089843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s="2" customFormat="1" x14ac:dyDescent="0.25">
      <c r="A1" s="2" t="s">
        <v>269</v>
      </c>
      <c r="B1" s="2" t="s">
        <v>4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39</v>
      </c>
      <c r="J1" s="5"/>
      <c r="K1" s="4" t="s">
        <v>12</v>
      </c>
      <c r="L1" s="6">
        <f ca="1">TODAY()</f>
        <v>45938</v>
      </c>
    </row>
    <row r="2" spans="1:12" x14ac:dyDescent="0.25">
      <c r="A2" t="s">
        <v>326</v>
      </c>
      <c r="B2">
        <v>3300000</v>
      </c>
      <c r="C2" t="s">
        <v>327</v>
      </c>
      <c r="D2" s="7">
        <v>4200000</v>
      </c>
      <c r="E2" t="s">
        <v>152</v>
      </c>
      <c r="F2" s="7">
        <v>649700</v>
      </c>
      <c r="G2" s="8">
        <f>SUM(D:D)</f>
        <v>71600000</v>
      </c>
      <c r="H2" s="9">
        <v>37730000</v>
      </c>
      <c r="I2" s="9">
        <v>1110000</v>
      </c>
      <c r="J2" s="5" t="s">
        <v>16</v>
      </c>
      <c r="K2" s="6">
        <v>45936</v>
      </c>
    </row>
    <row r="3" spans="1:12" x14ac:dyDescent="0.25">
      <c r="A3" t="s">
        <v>152</v>
      </c>
      <c r="B3">
        <v>740000</v>
      </c>
      <c r="C3" t="s">
        <v>121</v>
      </c>
      <c r="D3" s="7">
        <v>3000000</v>
      </c>
      <c r="E3" t="s">
        <v>328</v>
      </c>
      <c r="F3" s="7">
        <v>466200</v>
      </c>
      <c r="G3" s="2"/>
      <c r="I3" s="9">
        <v>1030000</v>
      </c>
      <c r="J3" t="s">
        <v>19</v>
      </c>
    </row>
    <row r="4" spans="1:12" x14ac:dyDescent="0.25">
      <c r="A4" t="s">
        <v>329</v>
      </c>
      <c r="B4">
        <v>480000</v>
      </c>
      <c r="C4" t="s">
        <v>330</v>
      </c>
      <c r="D4" s="7">
        <v>5000000</v>
      </c>
      <c r="E4" t="s">
        <v>128</v>
      </c>
      <c r="F4" s="7">
        <v>2000000</v>
      </c>
      <c r="G4" s="2" t="s">
        <v>23</v>
      </c>
      <c r="H4" t="s">
        <v>24</v>
      </c>
      <c r="I4" s="9">
        <v>920000</v>
      </c>
      <c r="J4" s="5" t="s">
        <v>25</v>
      </c>
      <c r="K4" t="s">
        <v>26</v>
      </c>
      <c r="L4" s="5">
        <f>COUNT('Real Garrucho'!$D$2:$D$22)</f>
        <v>21</v>
      </c>
    </row>
    <row r="5" spans="1:12" x14ac:dyDescent="0.25">
      <c r="A5" t="s">
        <v>331</v>
      </c>
      <c r="B5">
        <v>1650000</v>
      </c>
      <c r="C5" t="s">
        <v>95</v>
      </c>
      <c r="D5" s="7">
        <v>1190000</v>
      </c>
      <c r="E5" t="s">
        <v>154</v>
      </c>
      <c r="F5" s="7">
        <v>1800000</v>
      </c>
      <c r="G5" s="8">
        <f>SUM(F:F)</f>
        <v>48378400</v>
      </c>
      <c r="H5" s="8">
        <f>SUM('Real Garrucho'!$I$2:$I$43)</f>
        <v>4350000</v>
      </c>
      <c r="I5" s="9">
        <v>990000</v>
      </c>
      <c r="J5" t="s">
        <v>30</v>
      </c>
      <c r="K5" t="s">
        <v>31</v>
      </c>
      <c r="L5" s="5">
        <f>COUNT('Real Garrucho'!$F$2:$F$26)</f>
        <v>25</v>
      </c>
    </row>
    <row r="6" spans="1:12" x14ac:dyDescent="0.25">
      <c r="A6" t="s">
        <v>308</v>
      </c>
      <c r="B6">
        <v>1360000</v>
      </c>
      <c r="C6" t="s">
        <v>137</v>
      </c>
      <c r="D6" s="7">
        <v>6500000</v>
      </c>
      <c r="E6" t="s">
        <v>159</v>
      </c>
      <c r="F6" s="7">
        <v>542700</v>
      </c>
      <c r="H6" s="2"/>
      <c r="I6" s="9">
        <v>1300000</v>
      </c>
      <c r="J6" s="5" t="s">
        <v>34</v>
      </c>
    </row>
    <row r="7" spans="1:12" x14ac:dyDescent="0.25">
      <c r="A7" t="s">
        <v>332</v>
      </c>
      <c r="B7">
        <v>1160000</v>
      </c>
      <c r="C7" t="s">
        <v>288</v>
      </c>
      <c r="D7" s="7">
        <v>3115000</v>
      </c>
      <c r="E7" t="s">
        <v>333</v>
      </c>
      <c r="F7" s="7">
        <v>143400</v>
      </c>
      <c r="G7" s="2" t="s">
        <v>38</v>
      </c>
      <c r="H7" s="2" t="s">
        <v>39</v>
      </c>
      <c r="J7" t="s">
        <v>40</v>
      </c>
    </row>
    <row r="8" spans="1:12" x14ac:dyDescent="0.25">
      <c r="A8" t="s">
        <v>333</v>
      </c>
      <c r="B8">
        <v>160000</v>
      </c>
      <c r="C8" t="s">
        <v>334</v>
      </c>
      <c r="D8" s="7">
        <v>3515000</v>
      </c>
      <c r="E8" t="s">
        <v>335</v>
      </c>
      <c r="F8" s="7">
        <v>2096900</v>
      </c>
      <c r="G8" s="8">
        <v>18950000</v>
      </c>
      <c r="H8" s="9">
        <f>G14-G8+H2-(40000000-G8)-H5</f>
        <v>-6541600</v>
      </c>
      <c r="J8" s="5" t="s">
        <v>43</v>
      </c>
    </row>
    <row r="9" spans="1:12" x14ac:dyDescent="0.25">
      <c r="A9" t="s">
        <v>328</v>
      </c>
      <c r="B9">
        <v>480000</v>
      </c>
      <c r="C9" t="s">
        <v>336</v>
      </c>
      <c r="D9" s="7">
        <v>320000</v>
      </c>
      <c r="E9" t="s">
        <v>332</v>
      </c>
      <c r="F9" s="7">
        <v>891600</v>
      </c>
      <c r="J9" t="s">
        <v>47</v>
      </c>
    </row>
    <row r="10" spans="1:12" x14ac:dyDescent="0.25">
      <c r="A10" t="s">
        <v>337</v>
      </c>
      <c r="B10">
        <v>2440000</v>
      </c>
      <c r="C10" t="s">
        <v>109</v>
      </c>
      <c r="D10" s="7">
        <v>2000000</v>
      </c>
      <c r="E10" t="s">
        <v>308</v>
      </c>
      <c r="F10" s="7">
        <v>1134100</v>
      </c>
      <c r="G10" s="2" t="s">
        <v>50</v>
      </c>
      <c r="J10" s="5" t="s">
        <v>51</v>
      </c>
    </row>
    <row r="11" spans="1:12" x14ac:dyDescent="0.25">
      <c r="A11" t="s">
        <v>338</v>
      </c>
      <c r="B11">
        <v>1040000</v>
      </c>
      <c r="C11" t="s">
        <v>96</v>
      </c>
      <c r="D11" s="7">
        <v>3500000</v>
      </c>
      <c r="E11" t="s">
        <v>331</v>
      </c>
      <c r="F11" s="7">
        <v>1216200</v>
      </c>
      <c r="G11" s="9">
        <f>G14+H2/4</f>
        <v>9510900</v>
      </c>
      <c r="J11" t="s">
        <v>53</v>
      </c>
    </row>
    <row r="12" spans="1:12" x14ac:dyDescent="0.25">
      <c r="A12" t="s">
        <v>335</v>
      </c>
      <c r="B12">
        <v>2640000</v>
      </c>
      <c r="C12" t="s">
        <v>339</v>
      </c>
      <c r="D12" s="7">
        <v>7500000</v>
      </c>
      <c r="E12" t="s">
        <v>121</v>
      </c>
      <c r="F12" s="7">
        <v>1686700</v>
      </c>
      <c r="J12" s="5" t="s">
        <v>56</v>
      </c>
    </row>
    <row r="13" spans="1:12" x14ac:dyDescent="0.25">
      <c r="A13" t="s">
        <v>159</v>
      </c>
      <c r="B13">
        <v>590000</v>
      </c>
      <c r="C13" t="s">
        <v>340</v>
      </c>
      <c r="D13" s="7">
        <v>5620000</v>
      </c>
      <c r="E13" t="s">
        <v>300</v>
      </c>
      <c r="F13" s="7">
        <v>4149400</v>
      </c>
      <c r="G13" s="2" t="s">
        <v>58</v>
      </c>
      <c r="J13" t="s">
        <v>59</v>
      </c>
    </row>
    <row r="14" spans="1:12" s="19" customFormat="1" x14ac:dyDescent="0.25">
      <c r="A14" s="19" t="s">
        <v>300</v>
      </c>
      <c r="B14" s="19">
        <v>3180000</v>
      </c>
      <c r="C14" s="19" t="s">
        <v>220</v>
      </c>
      <c r="D14" s="20">
        <v>2700000</v>
      </c>
      <c r="E14" s="19" t="s">
        <v>95</v>
      </c>
      <c r="F14" s="20">
        <v>1178500</v>
      </c>
      <c r="G14" s="9">
        <f>G8+G5-G2+H5</f>
        <v>78400</v>
      </c>
      <c r="I14" s="21"/>
      <c r="J14" s="22" t="s">
        <v>61</v>
      </c>
    </row>
    <row r="15" spans="1:12" x14ac:dyDescent="0.25">
      <c r="A15" t="s">
        <v>332</v>
      </c>
      <c r="B15">
        <v>210000</v>
      </c>
      <c r="C15" t="s">
        <v>341</v>
      </c>
      <c r="D15" s="7">
        <v>5000000</v>
      </c>
      <c r="E15" t="s">
        <v>334</v>
      </c>
      <c r="F15" s="7">
        <v>3033800</v>
      </c>
      <c r="J15" t="s">
        <v>62</v>
      </c>
    </row>
    <row r="16" spans="1:12" x14ac:dyDescent="0.25">
      <c r="A16" t="s">
        <v>154</v>
      </c>
      <c r="B16">
        <v>1620000</v>
      </c>
      <c r="C16" t="s">
        <v>342</v>
      </c>
      <c r="D16" s="7">
        <v>6000000</v>
      </c>
      <c r="E16" t="s">
        <v>288</v>
      </c>
      <c r="F16" s="7">
        <v>4680000</v>
      </c>
      <c r="J16" s="5" t="s">
        <v>63</v>
      </c>
    </row>
    <row r="17" spans="2:10" x14ac:dyDescent="0.25">
      <c r="B17">
        <f>SUM('Real Garrucho'!$B$2:$B$16)</f>
        <v>21050000</v>
      </c>
      <c r="C17" t="s">
        <v>196</v>
      </c>
      <c r="D17" s="7">
        <v>1600000</v>
      </c>
      <c r="E17" t="s">
        <v>327</v>
      </c>
      <c r="F17" s="7">
        <v>2851400</v>
      </c>
      <c r="J17" t="s">
        <v>64</v>
      </c>
    </row>
    <row r="18" spans="2:10" x14ac:dyDescent="0.25">
      <c r="C18" t="s">
        <v>343</v>
      </c>
      <c r="D18" s="7">
        <v>330000</v>
      </c>
      <c r="E18" t="s">
        <v>337</v>
      </c>
      <c r="F18" s="7">
        <v>2919800</v>
      </c>
      <c r="J18" s="5" t="s">
        <v>65</v>
      </c>
    </row>
    <row r="19" spans="2:10" x14ac:dyDescent="0.25">
      <c r="C19" t="s">
        <v>344</v>
      </c>
      <c r="D19" s="7">
        <v>1200000</v>
      </c>
      <c r="E19" t="s">
        <v>338</v>
      </c>
      <c r="F19" s="7">
        <v>1319300</v>
      </c>
      <c r="J19" t="s">
        <v>66</v>
      </c>
    </row>
    <row r="20" spans="2:10" x14ac:dyDescent="0.25">
      <c r="C20" t="s">
        <v>345</v>
      </c>
      <c r="D20" s="7">
        <v>1900000</v>
      </c>
      <c r="E20" t="s">
        <v>330</v>
      </c>
      <c r="F20" s="7">
        <v>5048700</v>
      </c>
      <c r="J20" s="5" t="s">
        <v>67</v>
      </c>
    </row>
    <row r="21" spans="2:10" x14ac:dyDescent="0.25">
      <c r="C21" t="s">
        <v>210</v>
      </c>
      <c r="D21" s="7">
        <v>1610000</v>
      </c>
      <c r="E21" t="s">
        <v>109</v>
      </c>
      <c r="F21" s="7">
        <v>1732300</v>
      </c>
      <c r="J21" t="s">
        <v>68</v>
      </c>
    </row>
    <row r="22" spans="2:10" x14ac:dyDescent="0.25">
      <c r="C22" t="s">
        <v>319</v>
      </c>
      <c r="D22" s="7">
        <v>5800000</v>
      </c>
      <c r="E22" t="s">
        <v>329</v>
      </c>
      <c r="F22" s="7">
        <v>418100</v>
      </c>
      <c r="J22" s="5" t="s">
        <v>69</v>
      </c>
    </row>
    <row r="23" spans="2:10" x14ac:dyDescent="0.25">
      <c r="E23" t="s">
        <v>220</v>
      </c>
      <c r="F23" s="7">
        <v>2800000</v>
      </c>
      <c r="J23" t="s">
        <v>70</v>
      </c>
    </row>
    <row r="24" spans="2:10" x14ac:dyDescent="0.25">
      <c r="E24" t="s">
        <v>336</v>
      </c>
      <c r="F24" s="7">
        <v>316100</v>
      </c>
      <c r="J24" s="5" t="s">
        <v>71</v>
      </c>
    </row>
    <row r="25" spans="2:10" x14ac:dyDescent="0.25">
      <c r="E25" t="s">
        <v>341</v>
      </c>
      <c r="F25" s="7">
        <v>3843200</v>
      </c>
      <c r="J25" t="s">
        <v>72</v>
      </c>
    </row>
    <row r="26" spans="2:10" x14ac:dyDescent="0.25">
      <c r="E26" t="s">
        <v>210</v>
      </c>
      <c r="F26" s="7">
        <v>1460300</v>
      </c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9:10" x14ac:dyDescent="0.25">
      <c r="J33" t="s">
        <v>80</v>
      </c>
    </row>
    <row r="34" spans="9:10" x14ac:dyDescent="0.25">
      <c r="J34" s="5" t="s">
        <v>81</v>
      </c>
    </row>
    <row r="35" spans="9:10" x14ac:dyDescent="0.25">
      <c r="J35" t="s">
        <v>82</v>
      </c>
    </row>
    <row r="36" spans="9:10" x14ac:dyDescent="0.25">
      <c r="J36" s="5" t="s">
        <v>83</v>
      </c>
    </row>
    <row r="37" spans="9:10" x14ac:dyDescent="0.25">
      <c r="J37" t="s">
        <v>84</v>
      </c>
    </row>
    <row r="38" spans="9:10" x14ac:dyDescent="0.25">
      <c r="J38" s="5" t="s">
        <v>85</v>
      </c>
    </row>
    <row r="39" spans="9:10" x14ac:dyDescent="0.25">
      <c r="J39" t="s">
        <v>86</v>
      </c>
    </row>
    <row r="40" spans="9:10" x14ac:dyDescent="0.25">
      <c r="J40" s="5" t="s">
        <v>87</v>
      </c>
    </row>
    <row r="41" spans="9:10" x14ac:dyDescent="0.25">
      <c r="J41" t="s">
        <v>88</v>
      </c>
    </row>
    <row r="42" spans="9:10" x14ac:dyDescent="0.25">
      <c r="J42" s="5" t="s">
        <v>89</v>
      </c>
    </row>
    <row r="43" spans="9:10" x14ac:dyDescent="0.25">
      <c r="I43" s="9">
        <v>-1000000</v>
      </c>
      <c r="J43" t="s">
        <v>165</v>
      </c>
    </row>
    <row r="44" spans="9:10" x14ac:dyDescent="0.25">
      <c r="I44" s="9"/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2"/>
  <sheetViews>
    <sheetView topLeftCell="C1" workbookViewId="0">
      <selection activeCell="G2" sqref="G2"/>
    </sheetView>
  </sheetViews>
  <sheetFormatPr baseColWidth="10" defaultRowHeight="12.5" x14ac:dyDescent="0.25"/>
  <cols>
    <col min="1" max="1" width="15.81640625" hidden="1" customWidth="1"/>
    <col min="2" max="2" width="10.08984375" hidden="1" customWidth="1"/>
    <col min="3" max="3" width="12.81640625" bestFit="1" customWidth="1"/>
    <col min="4" max="4" width="10.90625" style="3" customWidth="1"/>
    <col min="5" max="5" width="14.54296875" customWidth="1"/>
    <col min="6" max="6" width="10.90625" style="3" customWidth="1"/>
    <col min="7" max="7" width="14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s="2" customFormat="1" x14ac:dyDescent="0.25">
      <c r="B1" s="2" t="s">
        <v>346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6">
        <f ca="1">TODAY()</f>
        <v>45938</v>
      </c>
    </row>
    <row r="2" spans="1:12" x14ac:dyDescent="0.25">
      <c r="A2" t="s">
        <v>347</v>
      </c>
      <c r="B2">
        <v>380000</v>
      </c>
      <c r="D2" s="7"/>
      <c r="E2" s="5" t="s">
        <v>185</v>
      </c>
      <c r="F2" s="7">
        <v>3520000</v>
      </c>
      <c r="G2" s="9">
        <f>SUM(D:D)</f>
        <v>0</v>
      </c>
      <c r="H2" s="9">
        <v>11480000</v>
      </c>
      <c r="I2" s="9">
        <v>1310000</v>
      </c>
      <c r="J2" s="5" t="s">
        <v>16</v>
      </c>
      <c r="K2" s="6">
        <v>45936</v>
      </c>
    </row>
    <row r="3" spans="1:12" x14ac:dyDescent="0.25">
      <c r="A3" t="s">
        <v>348</v>
      </c>
      <c r="B3">
        <v>220000</v>
      </c>
      <c r="G3" s="2"/>
      <c r="I3" s="9">
        <v>1370000</v>
      </c>
      <c r="J3" t="s">
        <v>19</v>
      </c>
    </row>
    <row r="4" spans="1:12" x14ac:dyDescent="0.25">
      <c r="A4" t="s">
        <v>349</v>
      </c>
      <c r="B4">
        <v>1240000</v>
      </c>
      <c r="G4" s="2" t="s">
        <v>23</v>
      </c>
      <c r="H4" s="2" t="s">
        <v>24</v>
      </c>
      <c r="I4" s="9">
        <v>1530000</v>
      </c>
      <c r="J4" s="5" t="s">
        <v>25</v>
      </c>
      <c r="K4" t="s">
        <v>26</v>
      </c>
      <c r="L4" s="5">
        <f>COUNT('Tuma Tuma Nin'!$D$2)</f>
        <v>0</v>
      </c>
    </row>
    <row r="5" spans="1:12" x14ac:dyDescent="0.25">
      <c r="A5" t="s">
        <v>350</v>
      </c>
      <c r="B5">
        <v>2820000</v>
      </c>
      <c r="G5" s="9">
        <f>SUM(F:F)</f>
        <v>3520000</v>
      </c>
      <c r="H5" s="8">
        <f>SUM('Tuma Tuma Nin'!$I$2:$I$7)</f>
        <v>8310000</v>
      </c>
      <c r="I5" s="9">
        <v>1040000</v>
      </c>
      <c r="J5" t="s">
        <v>30</v>
      </c>
      <c r="K5" t="s">
        <v>31</v>
      </c>
      <c r="L5" s="5">
        <f>COUNT('Tuma Tuma Nin'!$F$2)</f>
        <v>1</v>
      </c>
    </row>
    <row r="6" spans="1:12" x14ac:dyDescent="0.25">
      <c r="A6" t="s">
        <v>351</v>
      </c>
      <c r="B6">
        <v>2710000</v>
      </c>
      <c r="I6" s="9">
        <v>1530000</v>
      </c>
      <c r="J6" s="5" t="s">
        <v>34</v>
      </c>
    </row>
    <row r="7" spans="1:12" x14ac:dyDescent="0.25">
      <c r="A7" t="s">
        <v>352</v>
      </c>
      <c r="B7">
        <v>1820000</v>
      </c>
      <c r="G7" s="2" t="s">
        <v>38</v>
      </c>
      <c r="H7" s="2" t="s">
        <v>39</v>
      </c>
      <c r="I7" s="9">
        <v>1530000</v>
      </c>
      <c r="J7" t="s">
        <v>40</v>
      </c>
    </row>
    <row r="8" spans="1:12" x14ac:dyDescent="0.25">
      <c r="A8" t="s">
        <v>353</v>
      </c>
      <c r="B8">
        <v>180000</v>
      </c>
      <c r="G8" s="8">
        <v>16800000</v>
      </c>
      <c r="H8" s="9">
        <f>G14-G8+H2-(40000000-G8)-H5</f>
        <v>-8200000</v>
      </c>
      <c r="J8" s="5" t="s">
        <v>43</v>
      </c>
    </row>
    <row r="9" spans="1:12" x14ac:dyDescent="0.25">
      <c r="A9" t="s">
        <v>185</v>
      </c>
      <c r="B9">
        <v>2910000</v>
      </c>
      <c r="J9" t="s">
        <v>47</v>
      </c>
    </row>
    <row r="10" spans="1:12" x14ac:dyDescent="0.25">
      <c r="A10" t="s">
        <v>354</v>
      </c>
      <c r="B10">
        <v>3810000</v>
      </c>
      <c r="G10" s="2" t="s">
        <v>50</v>
      </c>
      <c r="J10" s="5" t="s">
        <v>51</v>
      </c>
    </row>
    <row r="11" spans="1:12" x14ac:dyDescent="0.25">
      <c r="A11" t="s">
        <v>355</v>
      </c>
      <c r="B11">
        <v>590000</v>
      </c>
      <c r="G11" s="9">
        <f>G14+H2/4</f>
        <v>31500000</v>
      </c>
      <c r="J11" t="s">
        <v>53</v>
      </c>
    </row>
    <row r="12" spans="1:12" x14ac:dyDescent="0.25">
      <c r="A12" t="s">
        <v>356</v>
      </c>
      <c r="B12">
        <v>2580000</v>
      </c>
      <c r="J12" s="5" t="s">
        <v>56</v>
      </c>
    </row>
    <row r="13" spans="1:12" x14ac:dyDescent="0.25">
      <c r="A13" t="s">
        <v>357</v>
      </c>
      <c r="B13">
        <v>2580000</v>
      </c>
      <c r="G13" s="2" t="s">
        <v>58</v>
      </c>
      <c r="J13" t="s">
        <v>59</v>
      </c>
    </row>
    <row r="14" spans="1:12" x14ac:dyDescent="0.25">
      <c r="A14" t="s">
        <v>358</v>
      </c>
      <c r="B14">
        <v>600000</v>
      </c>
      <c r="G14" s="9">
        <f>G8+G5-G2+H5</f>
        <v>28630000</v>
      </c>
      <c r="J14" s="5" t="s">
        <v>61</v>
      </c>
    </row>
    <row r="15" spans="1:12" x14ac:dyDescent="0.25">
      <c r="A15" t="s">
        <v>359</v>
      </c>
      <c r="B15">
        <v>430000</v>
      </c>
      <c r="J15" t="s">
        <v>62</v>
      </c>
    </row>
    <row r="16" spans="1:12" x14ac:dyDescent="0.25">
      <c r="A16" t="s">
        <v>360</v>
      </c>
      <c r="B16">
        <v>330000</v>
      </c>
      <c r="J16" s="5" t="s">
        <v>63</v>
      </c>
    </row>
    <row r="17" spans="2:10" x14ac:dyDescent="0.25">
      <c r="B17">
        <v>23200000</v>
      </c>
      <c r="J17" t="s">
        <v>64</v>
      </c>
    </row>
    <row r="18" spans="2:10" x14ac:dyDescent="0.25"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pageSetup paperSize="9" fitToWidth="0" fitToHeight="0" orientation="portrait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525"/>
  <sheetViews>
    <sheetView workbookViewId="0"/>
  </sheetViews>
  <sheetFormatPr baseColWidth="10" defaultRowHeight="12.5" x14ac:dyDescent="0.25"/>
  <cols>
    <col min="1" max="1" width="19.08984375" bestFit="1" customWidth="1"/>
    <col min="2" max="2" width="10.90625" customWidth="1"/>
  </cols>
  <sheetData>
    <row r="1" spans="1:2" x14ac:dyDescent="0.25">
      <c r="A1" t="s">
        <v>361</v>
      </c>
      <c r="B1" t="s">
        <v>362</v>
      </c>
    </row>
    <row r="2" spans="1:2" x14ac:dyDescent="0.25">
      <c r="A2" t="s">
        <v>363</v>
      </c>
      <c r="B2">
        <v>1</v>
      </c>
    </row>
    <row r="3" spans="1:2" x14ac:dyDescent="0.25">
      <c r="A3" t="s">
        <v>261</v>
      </c>
      <c r="B3">
        <v>2</v>
      </c>
    </row>
    <row r="4" spans="1:2" x14ac:dyDescent="0.25">
      <c r="A4" t="s">
        <v>364</v>
      </c>
      <c r="B4">
        <v>3</v>
      </c>
    </row>
    <row r="5" spans="1:2" x14ac:dyDescent="0.25">
      <c r="A5" t="s">
        <v>340</v>
      </c>
      <c r="B5">
        <v>4</v>
      </c>
    </row>
    <row r="6" spans="1:2" x14ac:dyDescent="0.25">
      <c r="A6" t="s">
        <v>205</v>
      </c>
      <c r="B6">
        <v>5</v>
      </c>
    </row>
    <row r="7" spans="1:2" x14ac:dyDescent="0.25">
      <c r="A7" t="s">
        <v>264</v>
      </c>
      <c r="B7">
        <v>6</v>
      </c>
    </row>
    <row r="8" spans="1:2" x14ac:dyDescent="0.25">
      <c r="A8" t="s">
        <v>316</v>
      </c>
      <c r="B8">
        <v>7</v>
      </c>
    </row>
    <row r="9" spans="1:2" x14ac:dyDescent="0.25">
      <c r="A9" t="s">
        <v>217</v>
      </c>
      <c r="B9">
        <v>8</v>
      </c>
    </row>
    <row r="10" spans="1:2" x14ac:dyDescent="0.25">
      <c r="A10" t="s">
        <v>330</v>
      </c>
      <c r="B10">
        <v>9</v>
      </c>
    </row>
    <row r="11" spans="1:2" x14ac:dyDescent="0.25">
      <c r="A11" t="s">
        <v>365</v>
      </c>
      <c r="B11">
        <v>10</v>
      </c>
    </row>
    <row r="12" spans="1:2" x14ac:dyDescent="0.25">
      <c r="A12" t="s">
        <v>366</v>
      </c>
      <c r="B12">
        <v>11</v>
      </c>
    </row>
    <row r="13" spans="1:2" x14ac:dyDescent="0.25">
      <c r="A13" t="s">
        <v>367</v>
      </c>
      <c r="B13">
        <v>12</v>
      </c>
    </row>
    <row r="14" spans="1:2" x14ac:dyDescent="0.25">
      <c r="A14" t="s">
        <v>216</v>
      </c>
      <c r="B14">
        <v>13</v>
      </c>
    </row>
    <row r="15" spans="1:2" x14ac:dyDescent="0.25">
      <c r="A15" t="s">
        <v>97</v>
      </c>
      <c r="B15">
        <v>14</v>
      </c>
    </row>
    <row r="16" spans="1:2" x14ac:dyDescent="0.25">
      <c r="A16" t="s">
        <v>177</v>
      </c>
      <c r="B16">
        <v>15</v>
      </c>
    </row>
    <row r="17" spans="1:2" x14ac:dyDescent="0.25">
      <c r="A17" t="s">
        <v>108</v>
      </c>
      <c r="B17">
        <v>16</v>
      </c>
    </row>
    <row r="18" spans="1:2" x14ac:dyDescent="0.25">
      <c r="A18" t="s">
        <v>368</v>
      </c>
      <c r="B18">
        <v>17</v>
      </c>
    </row>
    <row r="19" spans="1:2" x14ac:dyDescent="0.25">
      <c r="A19" t="s">
        <v>369</v>
      </c>
      <c r="B19">
        <v>18</v>
      </c>
    </row>
    <row r="20" spans="1:2" x14ac:dyDescent="0.25">
      <c r="A20" t="s">
        <v>370</v>
      </c>
      <c r="B20">
        <v>19</v>
      </c>
    </row>
    <row r="21" spans="1:2" x14ac:dyDescent="0.25">
      <c r="A21" t="s">
        <v>60</v>
      </c>
      <c r="B21">
        <v>20</v>
      </c>
    </row>
    <row r="22" spans="1:2" x14ac:dyDescent="0.25">
      <c r="A22" t="s">
        <v>339</v>
      </c>
      <c r="B22">
        <v>21</v>
      </c>
    </row>
    <row r="23" spans="1:2" x14ac:dyDescent="0.25">
      <c r="A23" t="s">
        <v>254</v>
      </c>
      <c r="B23">
        <v>22</v>
      </c>
    </row>
    <row r="24" spans="1:2" x14ac:dyDescent="0.25">
      <c r="A24" t="s">
        <v>324</v>
      </c>
      <c r="B24">
        <v>23</v>
      </c>
    </row>
    <row r="25" spans="1:2" x14ac:dyDescent="0.25">
      <c r="A25" t="s">
        <v>241</v>
      </c>
      <c r="B25">
        <v>24</v>
      </c>
    </row>
    <row r="26" spans="1:2" x14ac:dyDescent="0.25">
      <c r="A26" t="s">
        <v>207</v>
      </c>
      <c r="B26">
        <v>25</v>
      </c>
    </row>
    <row r="27" spans="1:2" x14ac:dyDescent="0.25">
      <c r="A27" t="s">
        <v>371</v>
      </c>
      <c r="B27">
        <v>26</v>
      </c>
    </row>
    <row r="28" spans="1:2" x14ac:dyDescent="0.25">
      <c r="A28" t="s">
        <v>372</v>
      </c>
      <c r="B28">
        <v>27</v>
      </c>
    </row>
    <row r="29" spans="1:2" x14ac:dyDescent="0.25">
      <c r="A29" t="s">
        <v>373</v>
      </c>
      <c r="B29">
        <v>28</v>
      </c>
    </row>
    <row r="30" spans="1:2" x14ac:dyDescent="0.25">
      <c r="A30" t="s">
        <v>374</v>
      </c>
      <c r="B30">
        <v>29</v>
      </c>
    </row>
    <row r="31" spans="1:2" x14ac:dyDescent="0.25">
      <c r="A31" t="s">
        <v>103</v>
      </c>
      <c r="B31">
        <v>30</v>
      </c>
    </row>
    <row r="32" spans="1:2" x14ac:dyDescent="0.25">
      <c r="A32" t="s">
        <v>375</v>
      </c>
      <c r="B32">
        <v>31</v>
      </c>
    </row>
    <row r="33" spans="1:2" x14ac:dyDescent="0.25">
      <c r="A33" t="s">
        <v>300</v>
      </c>
      <c r="B33">
        <v>32</v>
      </c>
    </row>
    <row r="34" spans="1:2" x14ac:dyDescent="0.25">
      <c r="A34" t="s">
        <v>319</v>
      </c>
      <c r="B34">
        <v>33</v>
      </c>
    </row>
    <row r="35" spans="1:2" x14ac:dyDescent="0.25">
      <c r="A35" t="s">
        <v>221</v>
      </c>
      <c r="B35">
        <v>34</v>
      </c>
    </row>
    <row r="36" spans="1:2" x14ac:dyDescent="0.25">
      <c r="A36" t="s">
        <v>376</v>
      </c>
      <c r="B36">
        <v>35</v>
      </c>
    </row>
    <row r="37" spans="1:2" x14ac:dyDescent="0.25">
      <c r="A37" t="s">
        <v>306</v>
      </c>
      <c r="B37">
        <v>36</v>
      </c>
    </row>
    <row r="38" spans="1:2" x14ac:dyDescent="0.25">
      <c r="A38" t="s">
        <v>193</v>
      </c>
      <c r="B38">
        <v>37</v>
      </c>
    </row>
    <row r="39" spans="1:2" x14ac:dyDescent="0.25">
      <c r="A39" t="s">
        <v>230</v>
      </c>
      <c r="B39">
        <v>38</v>
      </c>
    </row>
    <row r="40" spans="1:2" x14ac:dyDescent="0.25">
      <c r="A40" t="s">
        <v>242</v>
      </c>
      <c r="B40">
        <v>39</v>
      </c>
    </row>
    <row r="41" spans="1:2" x14ac:dyDescent="0.25">
      <c r="A41" t="s">
        <v>377</v>
      </c>
      <c r="B41">
        <v>40</v>
      </c>
    </row>
    <row r="42" spans="1:2" x14ac:dyDescent="0.25">
      <c r="A42" t="s">
        <v>90</v>
      </c>
      <c r="B42">
        <v>41</v>
      </c>
    </row>
    <row r="43" spans="1:2" x14ac:dyDescent="0.25">
      <c r="A43" t="s">
        <v>378</v>
      </c>
      <c r="B43">
        <v>42</v>
      </c>
    </row>
    <row r="44" spans="1:2" x14ac:dyDescent="0.25">
      <c r="A44" t="s">
        <v>379</v>
      </c>
      <c r="B44">
        <v>43</v>
      </c>
    </row>
    <row r="45" spans="1:2" x14ac:dyDescent="0.25">
      <c r="A45" t="s">
        <v>260</v>
      </c>
      <c r="B45">
        <v>44</v>
      </c>
    </row>
    <row r="46" spans="1:2" x14ac:dyDescent="0.25">
      <c r="A46" t="s">
        <v>137</v>
      </c>
      <c r="B46">
        <v>45</v>
      </c>
    </row>
    <row r="47" spans="1:2" x14ac:dyDescent="0.25">
      <c r="A47" t="s">
        <v>162</v>
      </c>
      <c r="B47">
        <v>46</v>
      </c>
    </row>
    <row r="48" spans="1:2" x14ac:dyDescent="0.25">
      <c r="A48" t="s">
        <v>334</v>
      </c>
      <c r="B48">
        <v>47</v>
      </c>
    </row>
    <row r="49" spans="1:2" x14ac:dyDescent="0.25">
      <c r="A49" t="s">
        <v>380</v>
      </c>
      <c r="B49">
        <v>48</v>
      </c>
    </row>
    <row r="50" spans="1:2" x14ac:dyDescent="0.25">
      <c r="A50" t="s">
        <v>357</v>
      </c>
      <c r="B50">
        <v>49</v>
      </c>
    </row>
    <row r="51" spans="1:2" x14ac:dyDescent="0.25">
      <c r="A51" t="s">
        <v>381</v>
      </c>
      <c r="B51">
        <v>50</v>
      </c>
    </row>
    <row r="52" spans="1:2" x14ac:dyDescent="0.25">
      <c r="A52" t="s">
        <v>382</v>
      </c>
      <c r="B52">
        <v>51</v>
      </c>
    </row>
    <row r="53" spans="1:2" x14ac:dyDescent="0.25">
      <c r="A53" t="s">
        <v>383</v>
      </c>
      <c r="B53">
        <v>52</v>
      </c>
    </row>
    <row r="54" spans="1:2" x14ac:dyDescent="0.25">
      <c r="A54" t="s">
        <v>277</v>
      </c>
      <c r="B54">
        <v>53</v>
      </c>
    </row>
    <row r="55" spans="1:2" x14ac:dyDescent="0.25">
      <c r="A55" t="s">
        <v>185</v>
      </c>
      <c r="B55">
        <v>54</v>
      </c>
    </row>
    <row r="56" spans="1:2" x14ac:dyDescent="0.25">
      <c r="A56" t="s">
        <v>96</v>
      </c>
      <c r="B56">
        <v>55</v>
      </c>
    </row>
    <row r="57" spans="1:2" x14ac:dyDescent="0.25">
      <c r="A57" t="s">
        <v>101</v>
      </c>
      <c r="B57">
        <v>56</v>
      </c>
    </row>
    <row r="58" spans="1:2" x14ac:dyDescent="0.25">
      <c r="A58" t="s">
        <v>107</v>
      </c>
      <c r="B58">
        <v>57</v>
      </c>
    </row>
    <row r="59" spans="1:2" x14ac:dyDescent="0.25">
      <c r="A59" t="s">
        <v>262</v>
      </c>
      <c r="B59">
        <v>58</v>
      </c>
    </row>
    <row r="60" spans="1:2" x14ac:dyDescent="0.25">
      <c r="A60" t="s">
        <v>253</v>
      </c>
      <c r="B60">
        <v>59</v>
      </c>
    </row>
    <row r="61" spans="1:2" x14ac:dyDescent="0.25">
      <c r="A61" t="s">
        <v>267</v>
      </c>
      <c r="B61">
        <v>60</v>
      </c>
    </row>
    <row r="62" spans="1:2" x14ac:dyDescent="0.25">
      <c r="A62" t="s">
        <v>384</v>
      </c>
      <c r="B62">
        <v>61</v>
      </c>
    </row>
    <row r="63" spans="1:2" x14ac:dyDescent="0.25">
      <c r="A63" t="s">
        <v>128</v>
      </c>
      <c r="B63">
        <v>62</v>
      </c>
    </row>
    <row r="64" spans="1:2" x14ac:dyDescent="0.25">
      <c r="A64" t="s">
        <v>236</v>
      </c>
      <c r="B64">
        <v>63</v>
      </c>
    </row>
    <row r="65" spans="1:2" x14ac:dyDescent="0.25">
      <c r="A65" t="s">
        <v>385</v>
      </c>
      <c r="B65">
        <v>64</v>
      </c>
    </row>
    <row r="66" spans="1:2" x14ac:dyDescent="0.25">
      <c r="A66" t="s">
        <v>36</v>
      </c>
      <c r="B66">
        <v>65</v>
      </c>
    </row>
    <row r="67" spans="1:2" x14ac:dyDescent="0.25">
      <c r="A67" t="s">
        <v>226</v>
      </c>
      <c r="B67">
        <v>66</v>
      </c>
    </row>
    <row r="68" spans="1:2" x14ac:dyDescent="0.25">
      <c r="A68" t="s">
        <v>386</v>
      </c>
      <c r="B68">
        <v>67</v>
      </c>
    </row>
    <row r="69" spans="1:2" x14ac:dyDescent="0.25">
      <c r="A69" t="s">
        <v>387</v>
      </c>
      <c r="B69">
        <v>68</v>
      </c>
    </row>
    <row r="70" spans="1:2" x14ac:dyDescent="0.25">
      <c r="A70" t="s">
        <v>243</v>
      </c>
      <c r="B70">
        <v>69</v>
      </c>
    </row>
    <row r="71" spans="1:2" x14ac:dyDescent="0.25">
      <c r="A71" t="s">
        <v>301</v>
      </c>
      <c r="B71">
        <v>70</v>
      </c>
    </row>
    <row r="72" spans="1:2" x14ac:dyDescent="0.25">
      <c r="A72" t="s">
        <v>327</v>
      </c>
      <c r="B72">
        <v>71</v>
      </c>
    </row>
    <row r="73" spans="1:2" x14ac:dyDescent="0.25">
      <c r="A73" t="s">
        <v>188</v>
      </c>
      <c r="B73">
        <v>72</v>
      </c>
    </row>
    <row r="74" spans="1:2" x14ac:dyDescent="0.25">
      <c r="A74" t="s">
        <v>49</v>
      </c>
      <c r="B74">
        <v>73</v>
      </c>
    </row>
    <row r="75" spans="1:2" x14ac:dyDescent="0.25">
      <c r="A75" t="s">
        <v>266</v>
      </c>
      <c r="B75">
        <v>74</v>
      </c>
    </row>
    <row r="76" spans="1:2" x14ac:dyDescent="0.25">
      <c r="A76" t="s">
        <v>388</v>
      </c>
      <c r="B76">
        <v>75</v>
      </c>
    </row>
    <row r="77" spans="1:2" x14ac:dyDescent="0.25">
      <c r="A77" t="s">
        <v>288</v>
      </c>
      <c r="B77">
        <v>76</v>
      </c>
    </row>
    <row r="78" spans="1:2" x14ac:dyDescent="0.25">
      <c r="A78" t="s">
        <v>389</v>
      </c>
      <c r="B78">
        <v>77</v>
      </c>
    </row>
    <row r="79" spans="1:2" x14ac:dyDescent="0.25">
      <c r="A79" t="s">
        <v>341</v>
      </c>
      <c r="B79">
        <v>78</v>
      </c>
    </row>
    <row r="80" spans="1:2" x14ac:dyDescent="0.25">
      <c r="A80" t="s">
        <v>390</v>
      </c>
      <c r="B80">
        <v>79</v>
      </c>
    </row>
    <row r="81" spans="1:2" x14ac:dyDescent="0.25">
      <c r="A81" t="s">
        <v>155</v>
      </c>
      <c r="B81">
        <v>80</v>
      </c>
    </row>
    <row r="82" spans="1:2" x14ac:dyDescent="0.25">
      <c r="A82" t="s">
        <v>391</v>
      </c>
      <c r="B82">
        <v>81</v>
      </c>
    </row>
    <row r="83" spans="1:2" x14ac:dyDescent="0.25">
      <c r="A83" t="s">
        <v>392</v>
      </c>
      <c r="B83">
        <v>82</v>
      </c>
    </row>
    <row r="84" spans="1:2" x14ac:dyDescent="0.25">
      <c r="A84" t="s">
        <v>393</v>
      </c>
      <c r="B84">
        <v>83</v>
      </c>
    </row>
    <row r="85" spans="1:2" x14ac:dyDescent="0.25">
      <c r="A85" t="s">
        <v>228</v>
      </c>
      <c r="B85">
        <v>84</v>
      </c>
    </row>
    <row r="86" spans="1:2" x14ac:dyDescent="0.25">
      <c r="A86" t="s">
        <v>291</v>
      </c>
      <c r="B86">
        <v>85</v>
      </c>
    </row>
    <row r="87" spans="1:2" x14ac:dyDescent="0.25">
      <c r="A87" t="s">
        <v>394</v>
      </c>
      <c r="B87">
        <v>86</v>
      </c>
    </row>
    <row r="88" spans="1:2" x14ac:dyDescent="0.25">
      <c r="A88" t="s">
        <v>326</v>
      </c>
      <c r="B88">
        <v>87</v>
      </c>
    </row>
    <row r="89" spans="1:2" x14ac:dyDescent="0.25">
      <c r="A89" t="s">
        <v>304</v>
      </c>
      <c r="B89">
        <v>88</v>
      </c>
    </row>
    <row r="90" spans="1:2" x14ac:dyDescent="0.25">
      <c r="A90" t="s">
        <v>285</v>
      </c>
      <c r="B90">
        <v>89</v>
      </c>
    </row>
    <row r="91" spans="1:2" x14ac:dyDescent="0.25">
      <c r="A91" t="s">
        <v>395</v>
      </c>
      <c r="B91">
        <v>90</v>
      </c>
    </row>
    <row r="92" spans="1:2" x14ac:dyDescent="0.25">
      <c r="A92" t="s">
        <v>28</v>
      </c>
      <c r="B92">
        <v>91</v>
      </c>
    </row>
    <row r="93" spans="1:2" x14ac:dyDescent="0.25">
      <c r="A93" t="s">
        <v>237</v>
      </c>
      <c r="B93">
        <v>92</v>
      </c>
    </row>
    <row r="94" spans="1:2" x14ac:dyDescent="0.25">
      <c r="A94" t="s">
        <v>325</v>
      </c>
      <c r="B94">
        <v>93</v>
      </c>
    </row>
    <row r="95" spans="1:2" x14ac:dyDescent="0.25">
      <c r="A95" t="s">
        <v>21</v>
      </c>
      <c r="B95">
        <v>94</v>
      </c>
    </row>
    <row r="96" spans="1:2" x14ac:dyDescent="0.25">
      <c r="A96" t="s">
        <v>396</v>
      </c>
      <c r="B96">
        <v>95</v>
      </c>
    </row>
    <row r="97" spans="1:2" x14ac:dyDescent="0.25">
      <c r="A97" t="s">
        <v>279</v>
      </c>
      <c r="B97">
        <v>96</v>
      </c>
    </row>
    <row r="98" spans="1:2" x14ac:dyDescent="0.25">
      <c r="A98" t="s">
        <v>397</v>
      </c>
      <c r="B98">
        <v>97</v>
      </c>
    </row>
    <row r="99" spans="1:2" x14ac:dyDescent="0.25">
      <c r="A99" t="s">
        <v>255</v>
      </c>
      <c r="B99">
        <v>98</v>
      </c>
    </row>
    <row r="100" spans="1:2" x14ac:dyDescent="0.25">
      <c r="A100" t="s">
        <v>322</v>
      </c>
      <c r="B100">
        <v>99</v>
      </c>
    </row>
    <row r="101" spans="1:2" x14ac:dyDescent="0.25">
      <c r="A101" t="s">
        <v>398</v>
      </c>
      <c r="B101">
        <v>100</v>
      </c>
    </row>
    <row r="102" spans="1:2" x14ac:dyDescent="0.25">
      <c r="A102" t="s">
        <v>399</v>
      </c>
      <c r="B102">
        <v>101</v>
      </c>
    </row>
    <row r="103" spans="1:2" x14ac:dyDescent="0.25">
      <c r="A103" t="s">
        <v>400</v>
      </c>
      <c r="B103">
        <v>102</v>
      </c>
    </row>
    <row r="104" spans="1:2" x14ac:dyDescent="0.25">
      <c r="A104" t="s">
        <v>168</v>
      </c>
      <c r="B104">
        <v>103</v>
      </c>
    </row>
    <row r="105" spans="1:2" x14ac:dyDescent="0.25">
      <c r="A105" t="s">
        <v>372</v>
      </c>
      <c r="B105">
        <v>104</v>
      </c>
    </row>
    <row r="106" spans="1:2" x14ac:dyDescent="0.25">
      <c r="A106" t="s">
        <v>95</v>
      </c>
      <c r="B106">
        <v>105</v>
      </c>
    </row>
    <row r="107" spans="1:2" x14ac:dyDescent="0.25">
      <c r="A107" t="s">
        <v>280</v>
      </c>
      <c r="B107">
        <v>106</v>
      </c>
    </row>
    <row r="108" spans="1:2" x14ac:dyDescent="0.25">
      <c r="A108" t="s">
        <v>110</v>
      </c>
      <c r="B108">
        <v>107</v>
      </c>
    </row>
    <row r="109" spans="1:2" x14ac:dyDescent="0.25">
      <c r="A109" t="s">
        <v>98</v>
      </c>
      <c r="B109">
        <v>108</v>
      </c>
    </row>
    <row r="110" spans="1:2" x14ac:dyDescent="0.25">
      <c r="A110" t="s">
        <v>401</v>
      </c>
      <c r="B110">
        <v>109</v>
      </c>
    </row>
    <row r="111" spans="1:2" x14ac:dyDescent="0.25">
      <c r="A111" t="s">
        <v>182</v>
      </c>
      <c r="B111">
        <v>110</v>
      </c>
    </row>
    <row r="112" spans="1:2" x14ac:dyDescent="0.25">
      <c r="A112" t="s">
        <v>52</v>
      </c>
      <c r="B112">
        <v>111</v>
      </c>
    </row>
    <row r="113" spans="1:2" x14ac:dyDescent="0.25">
      <c r="A113" t="s">
        <v>342</v>
      </c>
      <c r="B113">
        <v>112</v>
      </c>
    </row>
    <row r="114" spans="1:2" x14ac:dyDescent="0.25">
      <c r="A114" t="s">
        <v>402</v>
      </c>
      <c r="B114">
        <v>113</v>
      </c>
    </row>
    <row r="115" spans="1:2" x14ac:dyDescent="0.25">
      <c r="A115" t="s">
        <v>132</v>
      </c>
      <c r="B115">
        <v>114</v>
      </c>
    </row>
    <row r="116" spans="1:2" x14ac:dyDescent="0.25">
      <c r="A116" t="s">
        <v>203</v>
      </c>
      <c r="B116">
        <v>115</v>
      </c>
    </row>
    <row r="117" spans="1:2" x14ac:dyDescent="0.25">
      <c r="A117" t="s">
        <v>403</v>
      </c>
      <c r="B117">
        <v>116</v>
      </c>
    </row>
    <row r="118" spans="1:2" x14ac:dyDescent="0.25">
      <c r="A118" t="s">
        <v>124</v>
      </c>
      <c r="B118">
        <v>117</v>
      </c>
    </row>
    <row r="119" spans="1:2" x14ac:dyDescent="0.25">
      <c r="A119" t="s">
        <v>404</v>
      </c>
      <c r="B119">
        <v>118</v>
      </c>
    </row>
    <row r="120" spans="1:2" x14ac:dyDescent="0.25">
      <c r="A120" t="s">
        <v>405</v>
      </c>
      <c r="B120">
        <v>119</v>
      </c>
    </row>
    <row r="121" spans="1:2" x14ac:dyDescent="0.25">
      <c r="A121" t="s">
        <v>406</v>
      </c>
      <c r="B121">
        <v>120</v>
      </c>
    </row>
    <row r="122" spans="1:2" x14ac:dyDescent="0.25">
      <c r="A122" t="s">
        <v>244</v>
      </c>
      <c r="B122">
        <v>121</v>
      </c>
    </row>
    <row r="123" spans="1:2" x14ac:dyDescent="0.25">
      <c r="A123" t="s">
        <v>211</v>
      </c>
      <c r="B123">
        <v>122</v>
      </c>
    </row>
    <row r="124" spans="1:2" x14ac:dyDescent="0.25">
      <c r="A124" t="s">
        <v>407</v>
      </c>
      <c r="B124">
        <v>123</v>
      </c>
    </row>
    <row r="125" spans="1:2" x14ac:dyDescent="0.25">
      <c r="A125" t="s">
        <v>27</v>
      </c>
      <c r="B125">
        <v>124</v>
      </c>
    </row>
    <row r="126" spans="1:2" x14ac:dyDescent="0.25">
      <c r="A126" t="s">
        <v>164</v>
      </c>
      <c r="B126">
        <v>125</v>
      </c>
    </row>
    <row r="127" spans="1:2" x14ac:dyDescent="0.25">
      <c r="A127" t="s">
        <v>189</v>
      </c>
      <c r="B127">
        <v>126</v>
      </c>
    </row>
    <row r="128" spans="1:2" x14ac:dyDescent="0.25">
      <c r="A128" t="s">
        <v>290</v>
      </c>
      <c r="B128">
        <v>127</v>
      </c>
    </row>
    <row r="129" spans="1:2" x14ac:dyDescent="0.25">
      <c r="A129" t="s">
        <v>408</v>
      </c>
      <c r="B129">
        <v>128</v>
      </c>
    </row>
    <row r="130" spans="1:2" x14ac:dyDescent="0.25">
      <c r="A130" t="s">
        <v>309</v>
      </c>
      <c r="B130">
        <v>129</v>
      </c>
    </row>
    <row r="131" spans="1:2" x14ac:dyDescent="0.25">
      <c r="A131" t="s">
        <v>409</v>
      </c>
      <c r="B131">
        <v>130</v>
      </c>
    </row>
    <row r="132" spans="1:2" x14ac:dyDescent="0.25">
      <c r="A132" t="s">
        <v>338</v>
      </c>
      <c r="B132">
        <v>131</v>
      </c>
    </row>
    <row r="133" spans="1:2" x14ac:dyDescent="0.25">
      <c r="A133" t="s">
        <v>410</v>
      </c>
      <c r="B133">
        <v>132</v>
      </c>
    </row>
    <row r="134" spans="1:2" x14ac:dyDescent="0.25">
      <c r="A134" t="s">
        <v>240</v>
      </c>
      <c r="B134">
        <v>133</v>
      </c>
    </row>
    <row r="135" spans="1:2" x14ac:dyDescent="0.25">
      <c r="A135" t="s">
        <v>195</v>
      </c>
      <c r="B135">
        <v>134</v>
      </c>
    </row>
    <row r="136" spans="1:2" x14ac:dyDescent="0.25">
      <c r="A136" t="s">
        <v>411</v>
      </c>
      <c r="B136">
        <v>135</v>
      </c>
    </row>
    <row r="137" spans="1:2" x14ac:dyDescent="0.25">
      <c r="A137" t="s">
        <v>412</v>
      </c>
      <c r="B137">
        <v>136</v>
      </c>
    </row>
    <row r="138" spans="1:2" x14ac:dyDescent="0.25">
      <c r="A138" t="s">
        <v>344</v>
      </c>
      <c r="B138">
        <v>137</v>
      </c>
    </row>
    <row r="139" spans="1:2" x14ac:dyDescent="0.25">
      <c r="A139" t="s">
        <v>232</v>
      </c>
      <c r="B139">
        <v>138</v>
      </c>
    </row>
    <row r="140" spans="1:2" x14ac:dyDescent="0.25">
      <c r="A140" t="s">
        <v>296</v>
      </c>
      <c r="B140">
        <v>139</v>
      </c>
    </row>
    <row r="141" spans="1:2" x14ac:dyDescent="0.25">
      <c r="A141" t="s">
        <v>413</v>
      </c>
      <c r="B141">
        <v>140</v>
      </c>
    </row>
    <row r="142" spans="1:2" x14ac:dyDescent="0.25">
      <c r="A142" t="s">
        <v>151</v>
      </c>
      <c r="B142">
        <v>141</v>
      </c>
    </row>
    <row r="143" spans="1:2" x14ac:dyDescent="0.25">
      <c r="A143" t="s">
        <v>414</v>
      </c>
      <c r="B143">
        <v>142</v>
      </c>
    </row>
    <row r="144" spans="1:2" x14ac:dyDescent="0.25">
      <c r="A144" t="s">
        <v>415</v>
      </c>
      <c r="B144">
        <v>143</v>
      </c>
    </row>
    <row r="145" spans="1:2" x14ac:dyDescent="0.25">
      <c r="A145" t="s">
        <v>139</v>
      </c>
      <c r="B145">
        <v>144</v>
      </c>
    </row>
    <row r="146" spans="1:2" x14ac:dyDescent="0.25">
      <c r="A146" t="s">
        <v>337</v>
      </c>
      <c r="B146">
        <v>145</v>
      </c>
    </row>
    <row r="147" spans="1:2" x14ac:dyDescent="0.25">
      <c r="A147" t="s">
        <v>416</v>
      </c>
      <c r="B147">
        <v>146</v>
      </c>
    </row>
    <row r="148" spans="1:2" x14ac:dyDescent="0.25">
      <c r="A148" t="s">
        <v>20</v>
      </c>
      <c r="B148">
        <v>147</v>
      </c>
    </row>
    <row r="149" spans="1:2" x14ac:dyDescent="0.25">
      <c r="A149" t="s">
        <v>417</v>
      </c>
      <c r="B149">
        <v>148</v>
      </c>
    </row>
    <row r="150" spans="1:2" x14ac:dyDescent="0.25">
      <c r="A150" t="s">
        <v>418</v>
      </c>
      <c r="B150">
        <v>149</v>
      </c>
    </row>
    <row r="151" spans="1:2" x14ac:dyDescent="0.25">
      <c r="A151" t="s">
        <v>259</v>
      </c>
      <c r="B151">
        <v>150</v>
      </c>
    </row>
    <row r="152" spans="1:2" x14ac:dyDescent="0.25">
      <c r="A152" t="s">
        <v>419</v>
      </c>
      <c r="B152">
        <v>151</v>
      </c>
    </row>
    <row r="153" spans="1:2" x14ac:dyDescent="0.25">
      <c r="A153" t="s">
        <v>420</v>
      </c>
      <c r="B153">
        <v>152</v>
      </c>
    </row>
    <row r="154" spans="1:2" x14ac:dyDescent="0.25">
      <c r="A154" t="s">
        <v>421</v>
      </c>
      <c r="B154">
        <v>153</v>
      </c>
    </row>
    <row r="155" spans="1:2" x14ac:dyDescent="0.25">
      <c r="A155" t="s">
        <v>422</v>
      </c>
      <c r="B155">
        <v>154</v>
      </c>
    </row>
    <row r="156" spans="1:2" x14ac:dyDescent="0.25">
      <c r="A156" t="s">
        <v>423</v>
      </c>
      <c r="B156">
        <v>155</v>
      </c>
    </row>
    <row r="157" spans="1:2" x14ac:dyDescent="0.25">
      <c r="A157" t="s">
        <v>42</v>
      </c>
      <c r="B157">
        <v>156</v>
      </c>
    </row>
    <row r="158" spans="1:2" x14ac:dyDescent="0.25">
      <c r="A158" t="s">
        <v>424</v>
      </c>
      <c r="B158">
        <v>157</v>
      </c>
    </row>
    <row r="159" spans="1:2" x14ac:dyDescent="0.25">
      <c r="A159" t="s">
        <v>18</v>
      </c>
      <c r="B159">
        <v>158</v>
      </c>
    </row>
    <row r="160" spans="1:2" x14ac:dyDescent="0.25">
      <c r="A160" t="s">
        <v>425</v>
      </c>
      <c r="B160">
        <v>159</v>
      </c>
    </row>
    <row r="161" spans="1:2" x14ac:dyDescent="0.25">
      <c r="A161" t="s">
        <v>246</v>
      </c>
      <c r="B161">
        <v>160</v>
      </c>
    </row>
    <row r="162" spans="1:2" x14ac:dyDescent="0.25">
      <c r="A162" t="s">
        <v>426</v>
      </c>
      <c r="B162">
        <v>161</v>
      </c>
    </row>
    <row r="163" spans="1:2" x14ac:dyDescent="0.25">
      <c r="A163" t="s">
        <v>427</v>
      </c>
      <c r="B163">
        <v>162</v>
      </c>
    </row>
    <row r="164" spans="1:2" x14ac:dyDescent="0.25">
      <c r="A164" t="s">
        <v>174</v>
      </c>
      <c r="B164">
        <v>163</v>
      </c>
    </row>
    <row r="165" spans="1:2" x14ac:dyDescent="0.25">
      <c r="A165" t="s">
        <v>428</v>
      </c>
      <c r="B165">
        <v>164</v>
      </c>
    </row>
    <row r="166" spans="1:2" x14ac:dyDescent="0.25">
      <c r="A166" t="s">
        <v>178</v>
      </c>
      <c r="B166">
        <v>165</v>
      </c>
    </row>
    <row r="167" spans="1:2" x14ac:dyDescent="0.25">
      <c r="A167" t="s">
        <v>114</v>
      </c>
      <c r="B167">
        <v>166</v>
      </c>
    </row>
    <row r="168" spans="1:2" x14ac:dyDescent="0.25">
      <c r="A168" t="s">
        <v>32</v>
      </c>
      <c r="B168">
        <v>167</v>
      </c>
    </row>
    <row r="169" spans="1:2" x14ac:dyDescent="0.25">
      <c r="A169" t="s">
        <v>148</v>
      </c>
      <c r="B169">
        <v>168</v>
      </c>
    </row>
    <row r="170" spans="1:2" x14ac:dyDescent="0.25">
      <c r="A170" t="s">
        <v>171</v>
      </c>
      <c r="B170">
        <v>169</v>
      </c>
    </row>
    <row r="171" spans="1:2" x14ac:dyDescent="0.25">
      <c r="A171" t="s">
        <v>297</v>
      </c>
      <c r="B171">
        <v>170</v>
      </c>
    </row>
    <row r="172" spans="1:2" x14ac:dyDescent="0.25">
      <c r="A172" t="s">
        <v>111</v>
      </c>
      <c r="B172">
        <v>171</v>
      </c>
    </row>
    <row r="173" spans="1:2" x14ac:dyDescent="0.25">
      <c r="A173" t="s">
        <v>146</v>
      </c>
      <c r="B173">
        <v>172</v>
      </c>
    </row>
    <row r="174" spans="1:2" x14ac:dyDescent="0.25">
      <c r="A174" t="s">
        <v>263</v>
      </c>
      <c r="B174">
        <v>173</v>
      </c>
    </row>
    <row r="175" spans="1:2" x14ac:dyDescent="0.25">
      <c r="A175" t="s">
        <v>429</v>
      </c>
      <c r="B175">
        <v>174</v>
      </c>
    </row>
    <row r="176" spans="1:2" x14ac:dyDescent="0.25">
      <c r="A176" t="s">
        <v>186</v>
      </c>
      <c r="B176">
        <v>175</v>
      </c>
    </row>
    <row r="177" spans="1:2" x14ac:dyDescent="0.25">
      <c r="A177" t="s">
        <v>219</v>
      </c>
      <c r="B177">
        <v>176</v>
      </c>
    </row>
    <row r="178" spans="1:2" x14ac:dyDescent="0.25">
      <c r="A178" t="s">
        <v>100</v>
      </c>
      <c r="B178">
        <v>177</v>
      </c>
    </row>
    <row r="179" spans="1:2" x14ac:dyDescent="0.25">
      <c r="A179" t="s">
        <v>430</v>
      </c>
      <c r="B179">
        <v>178</v>
      </c>
    </row>
    <row r="180" spans="1:2" x14ac:dyDescent="0.25">
      <c r="A180" t="s">
        <v>191</v>
      </c>
      <c r="B180">
        <v>179</v>
      </c>
    </row>
    <row r="181" spans="1:2" x14ac:dyDescent="0.25">
      <c r="A181" t="s">
        <v>196</v>
      </c>
      <c r="B181">
        <v>180</v>
      </c>
    </row>
    <row r="182" spans="1:2" x14ac:dyDescent="0.25">
      <c r="A182" t="s">
        <v>181</v>
      </c>
      <c r="B182">
        <v>181</v>
      </c>
    </row>
    <row r="183" spans="1:2" x14ac:dyDescent="0.25">
      <c r="A183" t="s">
        <v>273</v>
      </c>
      <c r="B183">
        <v>182</v>
      </c>
    </row>
    <row r="184" spans="1:2" x14ac:dyDescent="0.25">
      <c r="A184" t="s">
        <v>198</v>
      </c>
      <c r="B184">
        <v>183</v>
      </c>
    </row>
    <row r="185" spans="1:2" x14ac:dyDescent="0.25">
      <c r="A185" t="s">
        <v>99</v>
      </c>
      <c r="B185">
        <v>184</v>
      </c>
    </row>
    <row r="186" spans="1:2" x14ac:dyDescent="0.25">
      <c r="A186" t="s">
        <v>431</v>
      </c>
      <c r="B186">
        <v>185</v>
      </c>
    </row>
    <row r="187" spans="1:2" x14ac:dyDescent="0.25">
      <c r="A187" t="s">
        <v>282</v>
      </c>
      <c r="B187">
        <v>186</v>
      </c>
    </row>
    <row r="188" spans="1:2" x14ac:dyDescent="0.25">
      <c r="A188" t="s">
        <v>265</v>
      </c>
      <c r="B188">
        <v>187</v>
      </c>
    </row>
    <row r="189" spans="1:2" x14ac:dyDescent="0.25">
      <c r="A189" t="s">
        <v>432</v>
      </c>
      <c r="B189">
        <v>188</v>
      </c>
    </row>
    <row r="190" spans="1:2" x14ac:dyDescent="0.25">
      <c r="A190" t="s">
        <v>433</v>
      </c>
      <c r="B190">
        <v>189</v>
      </c>
    </row>
    <row r="191" spans="1:2" x14ac:dyDescent="0.25">
      <c r="A191" t="s">
        <v>434</v>
      </c>
      <c r="B191">
        <v>190</v>
      </c>
    </row>
    <row r="192" spans="1:2" x14ac:dyDescent="0.25">
      <c r="A192" t="s">
        <v>435</v>
      </c>
      <c r="B192">
        <v>191</v>
      </c>
    </row>
    <row r="193" spans="1:2" x14ac:dyDescent="0.25">
      <c r="A193" t="s">
        <v>48</v>
      </c>
      <c r="B193">
        <v>192</v>
      </c>
    </row>
    <row r="194" spans="1:2" x14ac:dyDescent="0.25">
      <c r="A194" t="s">
        <v>170</v>
      </c>
      <c r="B194">
        <v>193</v>
      </c>
    </row>
    <row r="195" spans="1:2" x14ac:dyDescent="0.25">
      <c r="A195" t="s">
        <v>436</v>
      </c>
      <c r="B195">
        <v>194</v>
      </c>
    </row>
    <row r="196" spans="1:2" x14ac:dyDescent="0.25">
      <c r="A196" t="s">
        <v>173</v>
      </c>
      <c r="B196">
        <v>195</v>
      </c>
    </row>
    <row r="197" spans="1:2" x14ac:dyDescent="0.25">
      <c r="A197" t="s">
        <v>437</v>
      </c>
      <c r="B197">
        <v>196</v>
      </c>
    </row>
    <row r="198" spans="1:2" x14ac:dyDescent="0.25">
      <c r="A198" t="s">
        <v>438</v>
      </c>
      <c r="B198">
        <v>197</v>
      </c>
    </row>
    <row r="199" spans="1:2" x14ac:dyDescent="0.25">
      <c r="A199" t="s">
        <v>439</v>
      </c>
      <c r="B199">
        <v>198</v>
      </c>
    </row>
    <row r="200" spans="1:2" x14ac:dyDescent="0.25">
      <c r="A200" t="s">
        <v>440</v>
      </c>
      <c r="B200">
        <v>199</v>
      </c>
    </row>
    <row r="201" spans="1:2" x14ac:dyDescent="0.25">
      <c r="A201" t="s">
        <v>258</v>
      </c>
      <c r="B201">
        <v>200</v>
      </c>
    </row>
    <row r="202" spans="1:2" x14ac:dyDescent="0.25">
      <c r="A202" t="s">
        <v>144</v>
      </c>
      <c r="B202">
        <v>201</v>
      </c>
    </row>
    <row r="203" spans="1:2" x14ac:dyDescent="0.25">
      <c r="A203" t="s">
        <v>441</v>
      </c>
      <c r="B203">
        <v>202</v>
      </c>
    </row>
    <row r="204" spans="1:2" x14ac:dyDescent="0.25">
      <c r="A204" t="s">
        <v>442</v>
      </c>
      <c r="B204">
        <v>203</v>
      </c>
    </row>
    <row r="205" spans="1:2" x14ac:dyDescent="0.25">
      <c r="A205" t="s">
        <v>443</v>
      </c>
      <c r="B205">
        <v>204</v>
      </c>
    </row>
    <row r="206" spans="1:2" x14ac:dyDescent="0.25">
      <c r="A206" t="s">
        <v>444</v>
      </c>
      <c r="B206">
        <v>205</v>
      </c>
    </row>
    <row r="207" spans="1:2" x14ac:dyDescent="0.25">
      <c r="A207" t="s">
        <v>307</v>
      </c>
      <c r="B207">
        <v>206</v>
      </c>
    </row>
    <row r="208" spans="1:2" x14ac:dyDescent="0.25">
      <c r="A208" t="s">
        <v>445</v>
      </c>
      <c r="B208">
        <v>207</v>
      </c>
    </row>
    <row r="209" spans="1:2" x14ac:dyDescent="0.25">
      <c r="A209" t="s">
        <v>446</v>
      </c>
      <c r="B209">
        <v>208</v>
      </c>
    </row>
    <row r="210" spans="1:2" x14ac:dyDescent="0.25">
      <c r="A210" t="s">
        <v>283</v>
      </c>
      <c r="B210">
        <v>209</v>
      </c>
    </row>
    <row r="211" spans="1:2" x14ac:dyDescent="0.25">
      <c r="A211" t="s">
        <v>447</v>
      </c>
      <c r="B211">
        <v>210</v>
      </c>
    </row>
    <row r="212" spans="1:2" x14ac:dyDescent="0.25">
      <c r="A212" t="s">
        <v>256</v>
      </c>
      <c r="B212">
        <v>211</v>
      </c>
    </row>
    <row r="213" spans="1:2" x14ac:dyDescent="0.25">
      <c r="A213" t="s">
        <v>312</v>
      </c>
      <c r="B213">
        <v>212</v>
      </c>
    </row>
    <row r="214" spans="1:2" x14ac:dyDescent="0.25">
      <c r="A214" t="s">
        <v>448</v>
      </c>
      <c r="B214">
        <v>213</v>
      </c>
    </row>
    <row r="215" spans="1:2" x14ac:dyDescent="0.25">
      <c r="A215" t="s">
        <v>449</v>
      </c>
      <c r="B215">
        <v>214</v>
      </c>
    </row>
    <row r="216" spans="1:2" x14ac:dyDescent="0.25">
      <c r="A216" t="s">
        <v>450</v>
      </c>
      <c r="B216">
        <v>215</v>
      </c>
    </row>
    <row r="217" spans="1:2" x14ac:dyDescent="0.25">
      <c r="A217" t="s">
        <v>451</v>
      </c>
      <c r="B217">
        <v>216</v>
      </c>
    </row>
    <row r="218" spans="1:2" x14ac:dyDescent="0.25">
      <c r="A218" t="s">
        <v>452</v>
      </c>
      <c r="B218">
        <v>217</v>
      </c>
    </row>
    <row r="219" spans="1:2" x14ac:dyDescent="0.25">
      <c r="A219" t="s">
        <v>14</v>
      </c>
      <c r="B219">
        <v>218</v>
      </c>
    </row>
    <row r="220" spans="1:2" x14ac:dyDescent="0.25">
      <c r="A220" t="s">
        <v>278</v>
      </c>
      <c r="B220">
        <v>219</v>
      </c>
    </row>
    <row r="221" spans="1:2" x14ac:dyDescent="0.25">
      <c r="A221" t="s">
        <v>453</v>
      </c>
      <c r="B221">
        <v>220</v>
      </c>
    </row>
    <row r="222" spans="1:2" x14ac:dyDescent="0.25">
      <c r="A222" t="s">
        <v>286</v>
      </c>
      <c r="B222">
        <v>221</v>
      </c>
    </row>
    <row r="223" spans="1:2" x14ac:dyDescent="0.25">
      <c r="A223" t="s">
        <v>295</v>
      </c>
      <c r="B223">
        <v>222</v>
      </c>
    </row>
    <row r="224" spans="1:2" x14ac:dyDescent="0.25">
      <c r="A224" t="s">
        <v>149</v>
      </c>
      <c r="B224">
        <v>223</v>
      </c>
    </row>
    <row r="225" spans="1:2" x14ac:dyDescent="0.25">
      <c r="A225" t="s">
        <v>272</v>
      </c>
      <c r="B225">
        <v>224</v>
      </c>
    </row>
    <row r="226" spans="1:2" x14ac:dyDescent="0.25">
      <c r="A226" t="s">
        <v>454</v>
      </c>
      <c r="B226">
        <v>225</v>
      </c>
    </row>
    <row r="227" spans="1:2" x14ac:dyDescent="0.25">
      <c r="A227" t="s">
        <v>455</v>
      </c>
      <c r="B227">
        <v>226</v>
      </c>
    </row>
    <row r="228" spans="1:2" x14ac:dyDescent="0.25">
      <c r="A228" t="s">
        <v>352</v>
      </c>
      <c r="B228">
        <v>227</v>
      </c>
    </row>
    <row r="229" spans="1:2" x14ac:dyDescent="0.25">
      <c r="A229" t="s">
        <v>456</v>
      </c>
      <c r="B229">
        <v>228</v>
      </c>
    </row>
    <row r="230" spans="1:2" x14ac:dyDescent="0.25">
      <c r="A230" t="s">
        <v>457</v>
      </c>
      <c r="B230">
        <v>229</v>
      </c>
    </row>
    <row r="231" spans="1:2" x14ac:dyDescent="0.25">
      <c r="A231" t="s">
        <v>147</v>
      </c>
      <c r="B231">
        <v>230</v>
      </c>
    </row>
    <row r="232" spans="1:2" x14ac:dyDescent="0.25">
      <c r="A232" t="s">
        <v>251</v>
      </c>
      <c r="B232">
        <v>231</v>
      </c>
    </row>
    <row r="233" spans="1:2" x14ac:dyDescent="0.25">
      <c r="A233" t="s">
        <v>458</v>
      </c>
      <c r="B233">
        <v>232</v>
      </c>
    </row>
    <row r="234" spans="1:2" x14ac:dyDescent="0.25">
      <c r="A234" t="s">
        <v>123</v>
      </c>
      <c r="B234">
        <v>233</v>
      </c>
    </row>
    <row r="235" spans="1:2" x14ac:dyDescent="0.25">
      <c r="A235" t="s">
        <v>15</v>
      </c>
      <c r="B235">
        <v>234</v>
      </c>
    </row>
    <row r="236" spans="1:2" x14ac:dyDescent="0.25">
      <c r="A236" t="s">
        <v>120</v>
      </c>
      <c r="B236">
        <v>235</v>
      </c>
    </row>
    <row r="237" spans="1:2" x14ac:dyDescent="0.25">
      <c r="A237" t="s">
        <v>130</v>
      </c>
      <c r="B237">
        <v>236</v>
      </c>
    </row>
    <row r="238" spans="1:2" x14ac:dyDescent="0.25">
      <c r="A238" t="s">
        <v>294</v>
      </c>
      <c r="B238">
        <v>237</v>
      </c>
    </row>
    <row r="239" spans="1:2" x14ac:dyDescent="0.25">
      <c r="A239" t="s">
        <v>233</v>
      </c>
      <c r="B239">
        <v>238</v>
      </c>
    </row>
    <row r="240" spans="1:2" x14ac:dyDescent="0.25">
      <c r="A240" t="s">
        <v>94</v>
      </c>
      <c r="B240">
        <v>239</v>
      </c>
    </row>
    <row r="241" spans="1:2" x14ac:dyDescent="0.25">
      <c r="A241" t="s">
        <v>459</v>
      </c>
      <c r="B241">
        <v>240</v>
      </c>
    </row>
    <row r="242" spans="1:2" x14ac:dyDescent="0.25">
      <c r="A242" t="s">
        <v>460</v>
      </c>
      <c r="B242">
        <v>241</v>
      </c>
    </row>
    <row r="243" spans="1:2" x14ac:dyDescent="0.25">
      <c r="A243" t="s">
        <v>240</v>
      </c>
      <c r="B243">
        <v>242</v>
      </c>
    </row>
    <row r="244" spans="1:2" x14ac:dyDescent="0.25">
      <c r="A244" t="s">
        <v>157</v>
      </c>
      <c r="B244">
        <v>243</v>
      </c>
    </row>
    <row r="245" spans="1:2" x14ac:dyDescent="0.25">
      <c r="A245" t="s">
        <v>187</v>
      </c>
      <c r="B245">
        <v>244</v>
      </c>
    </row>
    <row r="246" spans="1:2" x14ac:dyDescent="0.25">
      <c r="A246" t="s">
        <v>45</v>
      </c>
      <c r="B246">
        <v>245</v>
      </c>
    </row>
    <row r="247" spans="1:2" x14ac:dyDescent="0.25">
      <c r="A247" t="s">
        <v>249</v>
      </c>
      <c r="B247">
        <v>246</v>
      </c>
    </row>
    <row r="248" spans="1:2" x14ac:dyDescent="0.25">
      <c r="A248" t="s">
        <v>179</v>
      </c>
      <c r="B248">
        <v>247</v>
      </c>
    </row>
    <row r="249" spans="1:2" x14ac:dyDescent="0.25">
      <c r="A249" t="s">
        <v>343</v>
      </c>
      <c r="B249">
        <v>248</v>
      </c>
    </row>
    <row r="250" spans="1:2" x14ac:dyDescent="0.25">
      <c r="A250" t="s">
        <v>46</v>
      </c>
      <c r="B250">
        <v>249</v>
      </c>
    </row>
    <row r="251" spans="1:2" x14ac:dyDescent="0.25">
      <c r="A251" t="s">
        <v>360</v>
      </c>
      <c r="B251">
        <v>250</v>
      </c>
    </row>
    <row r="252" spans="1:2" x14ac:dyDescent="0.25">
      <c r="A252" t="s">
        <v>204</v>
      </c>
      <c r="B252">
        <v>251</v>
      </c>
    </row>
    <row r="253" spans="1:2" x14ac:dyDescent="0.25">
      <c r="A253" t="s">
        <v>336</v>
      </c>
      <c r="B253">
        <v>252</v>
      </c>
    </row>
    <row r="254" spans="1:2" x14ac:dyDescent="0.25">
      <c r="A254" t="s">
        <v>225</v>
      </c>
      <c r="B254">
        <v>253</v>
      </c>
    </row>
    <row r="255" spans="1:2" x14ac:dyDescent="0.25">
      <c r="A255" t="s">
        <v>194</v>
      </c>
      <c r="B255">
        <v>254</v>
      </c>
    </row>
    <row r="256" spans="1:2" x14ac:dyDescent="0.25">
      <c r="A256" t="s">
        <v>461</v>
      </c>
      <c r="B256">
        <v>255</v>
      </c>
    </row>
    <row r="257" spans="1:2" x14ac:dyDescent="0.25">
      <c r="A257" t="s">
        <v>462</v>
      </c>
      <c r="B257">
        <v>256</v>
      </c>
    </row>
    <row r="258" spans="1:2" x14ac:dyDescent="0.25">
      <c r="A258" t="s">
        <v>293</v>
      </c>
      <c r="B258">
        <v>257</v>
      </c>
    </row>
    <row r="259" spans="1:2" x14ac:dyDescent="0.25">
      <c r="A259" t="s">
        <v>463</v>
      </c>
      <c r="B259">
        <v>258</v>
      </c>
    </row>
    <row r="260" spans="1:2" x14ac:dyDescent="0.25">
      <c r="A260" t="s">
        <v>464</v>
      </c>
      <c r="B260">
        <v>259</v>
      </c>
    </row>
    <row r="261" spans="1:2" x14ac:dyDescent="0.25">
      <c r="A261" t="s">
        <v>465</v>
      </c>
      <c r="B261">
        <v>260</v>
      </c>
    </row>
    <row r="262" spans="1:2" x14ac:dyDescent="0.25">
      <c r="A262" t="s">
        <v>154</v>
      </c>
      <c r="B262">
        <v>261</v>
      </c>
    </row>
    <row r="263" spans="1:2" x14ac:dyDescent="0.25">
      <c r="A263" t="s">
        <v>115</v>
      </c>
      <c r="B263">
        <v>262</v>
      </c>
    </row>
    <row r="264" spans="1:2" x14ac:dyDescent="0.25">
      <c r="A264" t="s">
        <v>466</v>
      </c>
      <c r="B264">
        <v>263</v>
      </c>
    </row>
    <row r="265" spans="1:2" x14ac:dyDescent="0.25">
      <c r="A265" t="s">
        <v>467</v>
      </c>
      <c r="B265">
        <v>264</v>
      </c>
    </row>
    <row r="266" spans="1:2" x14ac:dyDescent="0.25">
      <c r="A266" t="s">
        <v>161</v>
      </c>
      <c r="B266">
        <v>265</v>
      </c>
    </row>
    <row r="267" spans="1:2" x14ac:dyDescent="0.25">
      <c r="A267" t="s">
        <v>44</v>
      </c>
      <c r="B267">
        <v>266</v>
      </c>
    </row>
    <row r="268" spans="1:2" x14ac:dyDescent="0.25">
      <c r="A268" t="s">
        <v>150</v>
      </c>
      <c r="B268">
        <v>267</v>
      </c>
    </row>
    <row r="269" spans="1:2" x14ac:dyDescent="0.25">
      <c r="A269" t="s">
        <v>104</v>
      </c>
      <c r="B269">
        <v>268</v>
      </c>
    </row>
    <row r="270" spans="1:2" x14ac:dyDescent="0.25">
      <c r="A270" t="s">
        <v>143</v>
      </c>
      <c r="B270">
        <v>269</v>
      </c>
    </row>
    <row r="271" spans="1:2" x14ac:dyDescent="0.25">
      <c r="A271" t="s">
        <v>468</v>
      </c>
      <c r="B271">
        <v>270</v>
      </c>
    </row>
    <row r="272" spans="1:2" x14ac:dyDescent="0.25">
      <c r="A272" t="s">
        <v>270</v>
      </c>
      <c r="B272">
        <v>271</v>
      </c>
    </row>
    <row r="273" spans="1:2" x14ac:dyDescent="0.25">
      <c r="A273" t="s">
        <v>355</v>
      </c>
      <c r="B273">
        <v>272</v>
      </c>
    </row>
    <row r="274" spans="1:2" x14ac:dyDescent="0.25">
      <c r="A274" t="s">
        <v>224</v>
      </c>
      <c r="B274">
        <v>273</v>
      </c>
    </row>
    <row r="275" spans="1:2" x14ac:dyDescent="0.25">
      <c r="A275" t="s">
        <v>302</v>
      </c>
      <c r="B275">
        <v>274</v>
      </c>
    </row>
    <row r="276" spans="1:2" x14ac:dyDescent="0.25">
      <c r="A276" t="s">
        <v>358</v>
      </c>
      <c r="B276">
        <v>275</v>
      </c>
    </row>
    <row r="277" spans="1:2" x14ac:dyDescent="0.25">
      <c r="A277" t="s">
        <v>220</v>
      </c>
      <c r="B277">
        <v>276</v>
      </c>
    </row>
    <row r="278" spans="1:2" x14ac:dyDescent="0.25">
      <c r="A278" t="s">
        <v>268</v>
      </c>
      <c r="B278">
        <v>277</v>
      </c>
    </row>
    <row r="279" spans="1:2" x14ac:dyDescent="0.25">
      <c r="A279" t="s">
        <v>92</v>
      </c>
      <c r="B279">
        <v>278</v>
      </c>
    </row>
    <row r="280" spans="1:2" x14ac:dyDescent="0.25">
      <c r="A280" t="s">
        <v>274</v>
      </c>
      <c r="B280">
        <v>279</v>
      </c>
    </row>
    <row r="281" spans="1:2" x14ac:dyDescent="0.25">
      <c r="A281" t="s">
        <v>310</v>
      </c>
      <c r="B281">
        <v>280</v>
      </c>
    </row>
    <row r="282" spans="1:2" x14ac:dyDescent="0.25">
      <c r="A282" t="s">
        <v>469</v>
      </c>
      <c r="B282">
        <v>281</v>
      </c>
    </row>
    <row r="283" spans="1:2" x14ac:dyDescent="0.25">
      <c r="A283" t="s">
        <v>153</v>
      </c>
      <c r="B283">
        <v>282</v>
      </c>
    </row>
    <row r="284" spans="1:2" x14ac:dyDescent="0.25">
      <c r="A284" t="s">
        <v>470</v>
      </c>
      <c r="B284">
        <v>283</v>
      </c>
    </row>
    <row r="285" spans="1:2" x14ac:dyDescent="0.25">
      <c r="A285" t="s">
        <v>354</v>
      </c>
      <c r="B285">
        <v>284</v>
      </c>
    </row>
    <row r="286" spans="1:2" x14ac:dyDescent="0.25">
      <c r="A286" t="s">
        <v>471</v>
      </c>
      <c r="B286">
        <v>285</v>
      </c>
    </row>
    <row r="287" spans="1:2" x14ac:dyDescent="0.25">
      <c r="A287" t="s">
        <v>472</v>
      </c>
      <c r="B287">
        <v>286</v>
      </c>
    </row>
    <row r="288" spans="1:2" x14ac:dyDescent="0.25">
      <c r="A288" t="s">
        <v>473</v>
      </c>
      <c r="B288">
        <v>287</v>
      </c>
    </row>
    <row r="289" spans="1:2" x14ac:dyDescent="0.25">
      <c r="A289" t="s">
        <v>474</v>
      </c>
      <c r="B289">
        <v>288</v>
      </c>
    </row>
    <row r="290" spans="1:2" x14ac:dyDescent="0.25">
      <c r="A290" t="s">
        <v>475</v>
      </c>
      <c r="B290">
        <v>289</v>
      </c>
    </row>
    <row r="291" spans="1:2" x14ac:dyDescent="0.25">
      <c r="A291" t="s">
        <v>109</v>
      </c>
      <c r="B291">
        <v>290</v>
      </c>
    </row>
    <row r="292" spans="1:2" x14ac:dyDescent="0.25">
      <c r="A292" t="s">
        <v>476</v>
      </c>
      <c r="B292">
        <v>291</v>
      </c>
    </row>
    <row r="293" spans="1:2" x14ac:dyDescent="0.25">
      <c r="A293" t="s">
        <v>477</v>
      </c>
      <c r="B293">
        <v>292</v>
      </c>
    </row>
    <row r="294" spans="1:2" x14ac:dyDescent="0.25">
      <c r="A294" t="s">
        <v>478</v>
      </c>
      <c r="B294">
        <v>293</v>
      </c>
    </row>
    <row r="295" spans="1:2" x14ac:dyDescent="0.25">
      <c r="A295" t="s">
        <v>284</v>
      </c>
      <c r="B295">
        <v>294</v>
      </c>
    </row>
    <row r="296" spans="1:2" x14ac:dyDescent="0.25">
      <c r="A296" t="s">
        <v>209</v>
      </c>
      <c r="B296">
        <v>295</v>
      </c>
    </row>
    <row r="297" spans="1:2" x14ac:dyDescent="0.25">
      <c r="A297" t="s">
        <v>479</v>
      </c>
      <c r="B297">
        <v>296</v>
      </c>
    </row>
    <row r="298" spans="1:2" x14ac:dyDescent="0.25">
      <c r="A298" t="s">
        <v>480</v>
      </c>
      <c r="B298">
        <v>297</v>
      </c>
    </row>
    <row r="299" spans="1:2" x14ac:dyDescent="0.25">
      <c r="A299" t="s">
        <v>481</v>
      </c>
      <c r="B299">
        <v>298</v>
      </c>
    </row>
    <row r="300" spans="1:2" x14ac:dyDescent="0.25">
      <c r="A300" t="s">
        <v>482</v>
      </c>
      <c r="B300">
        <v>299</v>
      </c>
    </row>
    <row r="301" spans="1:2" x14ac:dyDescent="0.25">
      <c r="A301" t="s">
        <v>483</v>
      </c>
      <c r="B301">
        <v>300</v>
      </c>
    </row>
    <row r="302" spans="1:2" x14ac:dyDescent="0.25">
      <c r="A302" t="s">
        <v>54</v>
      </c>
      <c r="B302">
        <v>301</v>
      </c>
    </row>
    <row r="303" spans="1:2" x14ac:dyDescent="0.25">
      <c r="A303" t="s">
        <v>484</v>
      </c>
      <c r="B303">
        <v>302</v>
      </c>
    </row>
    <row r="304" spans="1:2" x14ac:dyDescent="0.25">
      <c r="A304" t="s">
        <v>485</v>
      </c>
      <c r="B304">
        <v>303</v>
      </c>
    </row>
    <row r="305" spans="1:2" x14ac:dyDescent="0.25">
      <c r="A305" t="s">
        <v>486</v>
      </c>
      <c r="B305">
        <v>304</v>
      </c>
    </row>
    <row r="306" spans="1:2" x14ac:dyDescent="0.25">
      <c r="A306" t="s">
        <v>487</v>
      </c>
      <c r="B306">
        <v>305</v>
      </c>
    </row>
    <row r="307" spans="1:2" x14ac:dyDescent="0.25">
      <c r="A307" t="s">
        <v>292</v>
      </c>
      <c r="B307">
        <v>306</v>
      </c>
    </row>
    <row r="308" spans="1:2" x14ac:dyDescent="0.25">
      <c r="A308" t="s">
        <v>488</v>
      </c>
      <c r="B308">
        <v>307</v>
      </c>
    </row>
    <row r="309" spans="1:2" x14ac:dyDescent="0.25">
      <c r="A309" t="s">
        <v>184</v>
      </c>
      <c r="B309">
        <v>308</v>
      </c>
    </row>
    <row r="310" spans="1:2" x14ac:dyDescent="0.25">
      <c r="A310" t="s">
        <v>489</v>
      </c>
      <c r="B310">
        <v>309</v>
      </c>
    </row>
    <row r="311" spans="1:2" x14ac:dyDescent="0.25">
      <c r="A311" t="s">
        <v>490</v>
      </c>
      <c r="B311">
        <v>310</v>
      </c>
    </row>
    <row r="312" spans="1:2" x14ac:dyDescent="0.25">
      <c r="A312" t="s">
        <v>491</v>
      </c>
      <c r="B312">
        <v>311</v>
      </c>
    </row>
    <row r="313" spans="1:2" x14ac:dyDescent="0.25">
      <c r="A313" t="s">
        <v>113</v>
      </c>
      <c r="B313">
        <v>312</v>
      </c>
    </row>
    <row r="314" spans="1:2" x14ac:dyDescent="0.25">
      <c r="A314" t="s">
        <v>492</v>
      </c>
      <c r="B314">
        <v>313</v>
      </c>
    </row>
    <row r="315" spans="1:2" x14ac:dyDescent="0.25">
      <c r="A315" t="s">
        <v>55</v>
      </c>
      <c r="B315">
        <v>314</v>
      </c>
    </row>
    <row r="316" spans="1:2" x14ac:dyDescent="0.25">
      <c r="A316" t="s">
        <v>112</v>
      </c>
      <c r="B316">
        <v>315</v>
      </c>
    </row>
    <row r="317" spans="1:2" x14ac:dyDescent="0.25">
      <c r="A317" t="s">
        <v>493</v>
      </c>
      <c r="B317">
        <v>316</v>
      </c>
    </row>
    <row r="318" spans="1:2" x14ac:dyDescent="0.25">
      <c r="A318" t="s">
        <v>494</v>
      </c>
      <c r="B318">
        <v>317</v>
      </c>
    </row>
    <row r="319" spans="1:2" x14ac:dyDescent="0.25">
      <c r="A319" t="s">
        <v>214</v>
      </c>
      <c r="B319">
        <v>318</v>
      </c>
    </row>
    <row r="320" spans="1:2" x14ac:dyDescent="0.25">
      <c r="A320" t="s">
        <v>495</v>
      </c>
      <c r="B320">
        <v>319</v>
      </c>
    </row>
    <row r="321" spans="1:2" x14ac:dyDescent="0.25">
      <c r="A321" t="s">
        <v>496</v>
      </c>
      <c r="B321">
        <v>320</v>
      </c>
    </row>
    <row r="322" spans="1:2" x14ac:dyDescent="0.25">
      <c r="A322" t="s">
        <v>176</v>
      </c>
      <c r="B322">
        <v>321</v>
      </c>
    </row>
    <row r="323" spans="1:2" x14ac:dyDescent="0.25">
      <c r="A323" t="s">
        <v>345</v>
      </c>
      <c r="B323">
        <v>322</v>
      </c>
    </row>
    <row r="324" spans="1:2" x14ac:dyDescent="0.25">
      <c r="A324" t="s">
        <v>350</v>
      </c>
      <c r="B324">
        <v>323</v>
      </c>
    </row>
    <row r="325" spans="1:2" x14ac:dyDescent="0.25">
      <c r="A325" t="s">
        <v>121</v>
      </c>
      <c r="B325">
        <v>324</v>
      </c>
    </row>
    <row r="326" spans="1:2" x14ac:dyDescent="0.25">
      <c r="A326" t="s">
        <v>497</v>
      </c>
      <c r="B326">
        <v>325</v>
      </c>
    </row>
    <row r="327" spans="1:2" x14ac:dyDescent="0.25">
      <c r="A327" t="s">
        <v>498</v>
      </c>
      <c r="B327">
        <v>326</v>
      </c>
    </row>
    <row r="328" spans="1:2" x14ac:dyDescent="0.25">
      <c r="A328" t="s">
        <v>499</v>
      </c>
      <c r="B328">
        <v>327</v>
      </c>
    </row>
    <row r="329" spans="1:2" x14ac:dyDescent="0.25">
      <c r="A329" t="s">
        <v>298</v>
      </c>
      <c r="B329">
        <v>328</v>
      </c>
    </row>
    <row r="330" spans="1:2" x14ac:dyDescent="0.25">
      <c r="A330" t="s">
        <v>500</v>
      </c>
      <c r="B330">
        <v>329</v>
      </c>
    </row>
    <row r="331" spans="1:2" x14ac:dyDescent="0.25">
      <c r="A331" t="s">
        <v>213</v>
      </c>
      <c r="B331">
        <v>330</v>
      </c>
    </row>
    <row r="332" spans="1:2" x14ac:dyDescent="0.25">
      <c r="A332" t="s">
        <v>501</v>
      </c>
      <c r="B332">
        <v>331</v>
      </c>
    </row>
    <row r="333" spans="1:2" x14ac:dyDescent="0.25">
      <c r="A333" t="s">
        <v>502</v>
      </c>
      <c r="B333">
        <v>332</v>
      </c>
    </row>
    <row r="334" spans="1:2" x14ac:dyDescent="0.25">
      <c r="A334" t="s">
        <v>503</v>
      </c>
      <c r="B334">
        <v>333</v>
      </c>
    </row>
    <row r="335" spans="1:2" x14ac:dyDescent="0.25">
      <c r="A335" t="s">
        <v>504</v>
      </c>
      <c r="B335">
        <v>334</v>
      </c>
    </row>
    <row r="336" spans="1:2" x14ac:dyDescent="0.25">
      <c r="A336" t="s">
        <v>505</v>
      </c>
      <c r="B336">
        <v>335</v>
      </c>
    </row>
    <row r="337" spans="1:2" x14ac:dyDescent="0.25">
      <c r="A337" t="s">
        <v>238</v>
      </c>
      <c r="B337">
        <v>336</v>
      </c>
    </row>
    <row r="338" spans="1:2" x14ac:dyDescent="0.25">
      <c r="A338" t="s">
        <v>506</v>
      </c>
      <c r="B338">
        <v>337</v>
      </c>
    </row>
    <row r="339" spans="1:2" x14ac:dyDescent="0.25">
      <c r="A339" t="s">
        <v>507</v>
      </c>
      <c r="B339">
        <v>338</v>
      </c>
    </row>
    <row r="340" spans="1:2" x14ac:dyDescent="0.25">
      <c r="A340" t="s">
        <v>257</v>
      </c>
      <c r="B340">
        <v>339</v>
      </c>
    </row>
    <row r="341" spans="1:2" x14ac:dyDescent="0.25">
      <c r="A341" t="s">
        <v>508</v>
      </c>
      <c r="B341">
        <v>340</v>
      </c>
    </row>
    <row r="342" spans="1:2" x14ac:dyDescent="0.25">
      <c r="A342" t="s">
        <v>509</v>
      </c>
      <c r="B342">
        <v>341</v>
      </c>
    </row>
    <row r="343" spans="1:2" x14ac:dyDescent="0.25">
      <c r="A343" t="s">
        <v>510</v>
      </c>
      <c r="B343">
        <v>342</v>
      </c>
    </row>
    <row r="344" spans="1:2" x14ac:dyDescent="0.25">
      <c r="A344" t="s">
        <v>299</v>
      </c>
      <c r="B344">
        <v>343</v>
      </c>
    </row>
    <row r="345" spans="1:2" x14ac:dyDescent="0.25">
      <c r="A345" t="s">
        <v>208</v>
      </c>
      <c r="B345">
        <v>344</v>
      </c>
    </row>
    <row r="346" spans="1:2" x14ac:dyDescent="0.25">
      <c r="A346" t="s">
        <v>511</v>
      </c>
      <c r="B346">
        <v>345</v>
      </c>
    </row>
    <row r="347" spans="1:2" x14ac:dyDescent="0.25">
      <c r="A347" t="s">
        <v>329</v>
      </c>
      <c r="B347">
        <v>346</v>
      </c>
    </row>
    <row r="348" spans="1:2" x14ac:dyDescent="0.25">
      <c r="A348" t="s">
        <v>318</v>
      </c>
      <c r="B348">
        <v>347</v>
      </c>
    </row>
    <row r="349" spans="1:2" x14ac:dyDescent="0.25">
      <c r="A349" t="s">
        <v>359</v>
      </c>
      <c r="B349">
        <v>348</v>
      </c>
    </row>
    <row r="350" spans="1:2" x14ac:dyDescent="0.25">
      <c r="A350" t="s">
        <v>158</v>
      </c>
      <c r="B350">
        <v>349</v>
      </c>
    </row>
    <row r="351" spans="1:2" x14ac:dyDescent="0.25">
      <c r="A351" t="s">
        <v>512</v>
      </c>
      <c r="B351">
        <v>350</v>
      </c>
    </row>
    <row r="352" spans="1:2" x14ac:dyDescent="0.25">
      <c r="A352" t="s">
        <v>513</v>
      </c>
      <c r="B352">
        <v>351</v>
      </c>
    </row>
    <row r="353" spans="1:2" x14ac:dyDescent="0.25">
      <c r="A353" t="s">
        <v>305</v>
      </c>
      <c r="B353">
        <v>352</v>
      </c>
    </row>
    <row r="354" spans="1:2" x14ac:dyDescent="0.25">
      <c r="A354" t="s">
        <v>311</v>
      </c>
      <c r="B354">
        <v>353</v>
      </c>
    </row>
    <row r="355" spans="1:2" x14ac:dyDescent="0.25">
      <c r="A355" t="s">
        <v>514</v>
      </c>
      <c r="B355">
        <v>354</v>
      </c>
    </row>
    <row r="356" spans="1:2" x14ac:dyDescent="0.25">
      <c r="A356" t="s">
        <v>515</v>
      </c>
      <c r="B356">
        <v>355</v>
      </c>
    </row>
    <row r="357" spans="1:2" x14ac:dyDescent="0.25">
      <c r="A357" t="s">
        <v>516</v>
      </c>
      <c r="B357">
        <v>356</v>
      </c>
    </row>
    <row r="358" spans="1:2" x14ac:dyDescent="0.25">
      <c r="A358" t="s">
        <v>239</v>
      </c>
      <c r="B358">
        <v>357</v>
      </c>
    </row>
    <row r="359" spans="1:2" x14ac:dyDescent="0.25">
      <c r="A359" t="s">
        <v>517</v>
      </c>
      <c r="B359">
        <v>358</v>
      </c>
    </row>
    <row r="360" spans="1:2" x14ac:dyDescent="0.25">
      <c r="A360" t="s">
        <v>518</v>
      </c>
      <c r="B360">
        <v>359</v>
      </c>
    </row>
    <row r="361" spans="1:2" x14ac:dyDescent="0.25">
      <c r="A361" t="s">
        <v>519</v>
      </c>
      <c r="B361">
        <v>360</v>
      </c>
    </row>
    <row r="362" spans="1:2" x14ac:dyDescent="0.25">
      <c r="A362" t="s">
        <v>215</v>
      </c>
      <c r="B362">
        <v>361</v>
      </c>
    </row>
    <row r="363" spans="1:2" x14ac:dyDescent="0.25">
      <c r="A363" t="s">
        <v>210</v>
      </c>
      <c r="B363">
        <v>362</v>
      </c>
    </row>
    <row r="364" spans="1:2" x14ac:dyDescent="0.25">
      <c r="A364" t="s">
        <v>520</v>
      </c>
      <c r="B364">
        <v>363</v>
      </c>
    </row>
    <row r="365" spans="1:2" x14ac:dyDescent="0.25">
      <c r="A365" t="s">
        <v>521</v>
      </c>
      <c r="B365">
        <v>364</v>
      </c>
    </row>
    <row r="366" spans="1:2" x14ac:dyDescent="0.25">
      <c r="A366" t="s">
        <v>172</v>
      </c>
      <c r="B366">
        <v>365</v>
      </c>
    </row>
    <row r="367" spans="1:2" x14ac:dyDescent="0.25">
      <c r="A367" t="s">
        <v>33</v>
      </c>
      <c r="B367">
        <v>366</v>
      </c>
    </row>
    <row r="368" spans="1:2" x14ac:dyDescent="0.25">
      <c r="A368" t="s">
        <v>522</v>
      </c>
      <c r="B368">
        <v>367</v>
      </c>
    </row>
    <row r="369" spans="1:2" x14ac:dyDescent="0.25">
      <c r="A369" t="s">
        <v>523</v>
      </c>
      <c r="B369">
        <v>368</v>
      </c>
    </row>
    <row r="370" spans="1:2" x14ac:dyDescent="0.25">
      <c r="A370" t="s">
        <v>235</v>
      </c>
      <c r="B370">
        <v>369</v>
      </c>
    </row>
    <row r="371" spans="1:2" x14ac:dyDescent="0.25">
      <c r="A371" t="s">
        <v>524</v>
      </c>
      <c r="B371">
        <v>370</v>
      </c>
    </row>
    <row r="372" spans="1:2" x14ac:dyDescent="0.25">
      <c r="A372" t="s">
        <v>525</v>
      </c>
      <c r="B372">
        <v>371</v>
      </c>
    </row>
    <row r="373" spans="1:2" x14ac:dyDescent="0.25">
      <c r="A373" t="s">
        <v>159</v>
      </c>
      <c r="B373">
        <v>372</v>
      </c>
    </row>
    <row r="374" spans="1:2" x14ac:dyDescent="0.25">
      <c r="A374" t="s">
        <v>526</v>
      </c>
      <c r="B374">
        <v>373</v>
      </c>
    </row>
    <row r="375" spans="1:2" x14ac:dyDescent="0.25">
      <c r="A375" t="s">
        <v>314</v>
      </c>
      <c r="B375">
        <v>374</v>
      </c>
    </row>
    <row r="376" spans="1:2" x14ac:dyDescent="0.25">
      <c r="A376" t="s">
        <v>527</v>
      </c>
      <c r="B376">
        <v>375</v>
      </c>
    </row>
    <row r="377" spans="1:2" x14ac:dyDescent="0.25">
      <c r="A377" t="s">
        <v>528</v>
      </c>
      <c r="B377">
        <v>376</v>
      </c>
    </row>
    <row r="378" spans="1:2" x14ac:dyDescent="0.25">
      <c r="A378" t="s">
        <v>529</v>
      </c>
      <c r="B378">
        <v>377</v>
      </c>
    </row>
    <row r="379" spans="1:2" x14ac:dyDescent="0.25">
      <c r="A379" t="s">
        <v>190</v>
      </c>
      <c r="B379">
        <v>378</v>
      </c>
    </row>
    <row r="380" spans="1:2" x14ac:dyDescent="0.25">
      <c r="A380" t="s">
        <v>321</v>
      </c>
      <c r="B380">
        <v>379</v>
      </c>
    </row>
    <row r="381" spans="1:2" x14ac:dyDescent="0.25">
      <c r="A381" t="s">
        <v>530</v>
      </c>
      <c r="B381">
        <v>380</v>
      </c>
    </row>
    <row r="382" spans="1:2" x14ac:dyDescent="0.25">
      <c r="A382" t="s">
        <v>531</v>
      </c>
      <c r="B382">
        <v>381</v>
      </c>
    </row>
    <row r="383" spans="1:2" x14ac:dyDescent="0.25">
      <c r="A383" t="s">
        <v>13</v>
      </c>
      <c r="B383">
        <v>382</v>
      </c>
    </row>
    <row r="384" spans="1:2" x14ac:dyDescent="0.25">
      <c r="A384" t="s">
        <v>156</v>
      </c>
      <c r="B384">
        <v>383</v>
      </c>
    </row>
    <row r="385" spans="1:2" x14ac:dyDescent="0.25">
      <c r="A385" t="s">
        <v>532</v>
      </c>
      <c r="B385">
        <v>384</v>
      </c>
    </row>
    <row r="386" spans="1:2" x14ac:dyDescent="0.25">
      <c r="A386" t="s">
        <v>91</v>
      </c>
      <c r="B386">
        <v>385</v>
      </c>
    </row>
    <row r="387" spans="1:2" x14ac:dyDescent="0.25">
      <c r="A387" t="s">
        <v>533</v>
      </c>
      <c r="B387">
        <v>386</v>
      </c>
    </row>
    <row r="388" spans="1:2" x14ac:dyDescent="0.25">
      <c r="A388" t="s">
        <v>534</v>
      </c>
      <c r="B388">
        <v>387</v>
      </c>
    </row>
    <row r="389" spans="1:2" x14ac:dyDescent="0.25">
      <c r="A389" t="s">
        <v>535</v>
      </c>
      <c r="B389">
        <v>388</v>
      </c>
    </row>
    <row r="390" spans="1:2" x14ac:dyDescent="0.25">
      <c r="A390" t="s">
        <v>536</v>
      </c>
      <c r="B390">
        <v>389</v>
      </c>
    </row>
    <row r="391" spans="1:2" x14ac:dyDescent="0.25">
      <c r="A391" t="s">
        <v>537</v>
      </c>
      <c r="B391">
        <v>390</v>
      </c>
    </row>
    <row r="392" spans="1:2" x14ac:dyDescent="0.25">
      <c r="A392" t="s">
        <v>356</v>
      </c>
      <c r="B392">
        <v>391</v>
      </c>
    </row>
    <row r="393" spans="1:2" x14ac:dyDescent="0.25">
      <c r="A393" t="s">
        <v>335</v>
      </c>
      <c r="B393">
        <v>392</v>
      </c>
    </row>
    <row r="394" spans="1:2" x14ac:dyDescent="0.25">
      <c r="A394" t="s">
        <v>35</v>
      </c>
      <c r="B394">
        <v>393</v>
      </c>
    </row>
    <row r="395" spans="1:2" x14ac:dyDescent="0.25">
      <c r="A395" t="s">
        <v>538</v>
      </c>
      <c r="B395">
        <v>394</v>
      </c>
    </row>
    <row r="396" spans="1:2" x14ac:dyDescent="0.25">
      <c r="A396" t="s">
        <v>351</v>
      </c>
      <c r="B396">
        <v>395</v>
      </c>
    </row>
    <row r="397" spans="1:2" x14ac:dyDescent="0.25">
      <c r="A397" t="s">
        <v>539</v>
      </c>
      <c r="B397">
        <v>396</v>
      </c>
    </row>
    <row r="398" spans="1:2" x14ac:dyDescent="0.25">
      <c r="A398" t="s">
        <v>540</v>
      </c>
      <c r="B398">
        <v>397</v>
      </c>
    </row>
    <row r="399" spans="1:2" x14ac:dyDescent="0.25">
      <c r="A399" t="s">
        <v>541</v>
      </c>
      <c r="B399">
        <v>398</v>
      </c>
    </row>
    <row r="400" spans="1:2" x14ac:dyDescent="0.25">
      <c r="A400" t="s">
        <v>542</v>
      </c>
      <c r="B400">
        <v>399</v>
      </c>
    </row>
    <row r="401" spans="1:2" x14ac:dyDescent="0.25">
      <c r="A401" t="s">
        <v>160</v>
      </c>
      <c r="B401">
        <v>400</v>
      </c>
    </row>
    <row r="402" spans="1:2" x14ac:dyDescent="0.25">
      <c r="A402" t="s">
        <v>37</v>
      </c>
      <c r="B402">
        <v>401</v>
      </c>
    </row>
    <row r="403" spans="1:2" x14ac:dyDescent="0.25">
      <c r="A403" t="s">
        <v>167</v>
      </c>
      <c r="B403">
        <v>402</v>
      </c>
    </row>
    <row r="404" spans="1:2" x14ac:dyDescent="0.25">
      <c r="A404" t="s">
        <v>106</v>
      </c>
      <c r="B404">
        <v>403</v>
      </c>
    </row>
    <row r="405" spans="1:2" x14ac:dyDescent="0.25">
      <c r="A405" t="s">
        <v>543</v>
      </c>
      <c r="B405">
        <v>404</v>
      </c>
    </row>
    <row r="406" spans="1:2" x14ac:dyDescent="0.25">
      <c r="A406" t="s">
        <v>227</v>
      </c>
      <c r="B406">
        <v>405</v>
      </c>
    </row>
    <row r="407" spans="1:2" x14ac:dyDescent="0.25">
      <c r="A407" t="s">
        <v>234</v>
      </c>
      <c r="B407">
        <v>406</v>
      </c>
    </row>
    <row r="408" spans="1:2" x14ac:dyDescent="0.25">
      <c r="A408" t="s">
        <v>544</v>
      </c>
      <c r="B408">
        <v>407</v>
      </c>
    </row>
    <row r="409" spans="1:2" x14ac:dyDescent="0.25">
      <c r="A409" t="s">
        <v>57</v>
      </c>
      <c r="B409">
        <v>408</v>
      </c>
    </row>
    <row r="410" spans="1:2" x14ac:dyDescent="0.25">
      <c r="A410" t="s">
        <v>250</v>
      </c>
      <c r="B410">
        <v>409</v>
      </c>
    </row>
    <row r="411" spans="1:2" x14ac:dyDescent="0.25">
      <c r="A411" t="s">
        <v>545</v>
      </c>
      <c r="B411">
        <v>410</v>
      </c>
    </row>
    <row r="412" spans="1:2" x14ac:dyDescent="0.25">
      <c r="A412" t="s">
        <v>180</v>
      </c>
      <c r="B412">
        <v>411</v>
      </c>
    </row>
    <row r="413" spans="1:2" x14ac:dyDescent="0.25">
      <c r="A413" t="s">
        <v>546</v>
      </c>
      <c r="B413">
        <v>412</v>
      </c>
    </row>
    <row r="414" spans="1:2" x14ac:dyDescent="0.25">
      <c r="A414" t="s">
        <v>202</v>
      </c>
      <c r="B414">
        <v>413</v>
      </c>
    </row>
    <row r="415" spans="1:2" x14ac:dyDescent="0.25">
      <c r="A415" t="s">
        <v>206</v>
      </c>
      <c r="B415">
        <v>414</v>
      </c>
    </row>
    <row r="416" spans="1:2" x14ac:dyDescent="0.25">
      <c r="A416" t="s">
        <v>271</v>
      </c>
      <c r="B416">
        <v>415</v>
      </c>
    </row>
    <row r="417" spans="1:2" x14ac:dyDescent="0.25">
      <c r="A417" t="s">
        <v>331</v>
      </c>
      <c r="B417">
        <v>416</v>
      </c>
    </row>
    <row r="418" spans="1:2" x14ac:dyDescent="0.25">
      <c r="A418" t="s">
        <v>308</v>
      </c>
      <c r="B418">
        <v>417</v>
      </c>
    </row>
    <row r="419" spans="1:2" x14ac:dyDescent="0.25">
      <c r="A419" t="s">
        <v>547</v>
      </c>
      <c r="B419">
        <v>418</v>
      </c>
    </row>
    <row r="420" spans="1:2" x14ac:dyDescent="0.25">
      <c r="A420" t="s">
        <v>548</v>
      </c>
      <c r="B420">
        <v>419</v>
      </c>
    </row>
    <row r="421" spans="1:2" x14ac:dyDescent="0.25">
      <c r="A421" t="s">
        <v>125</v>
      </c>
      <c r="B421">
        <v>420</v>
      </c>
    </row>
    <row r="422" spans="1:2" x14ac:dyDescent="0.25">
      <c r="A422" t="s">
        <v>145</v>
      </c>
      <c r="B422">
        <v>421</v>
      </c>
    </row>
    <row r="423" spans="1:2" x14ac:dyDescent="0.25">
      <c r="A423" t="s">
        <v>549</v>
      </c>
      <c r="B423">
        <v>422</v>
      </c>
    </row>
    <row r="424" spans="1:2" x14ac:dyDescent="0.25">
      <c r="A424" t="s">
        <v>332</v>
      </c>
      <c r="B424">
        <v>423</v>
      </c>
    </row>
    <row r="425" spans="1:2" x14ac:dyDescent="0.25">
      <c r="A425" t="s">
        <v>200</v>
      </c>
      <c r="B425">
        <v>424</v>
      </c>
    </row>
    <row r="426" spans="1:2" x14ac:dyDescent="0.25">
      <c r="A426" t="s">
        <v>313</v>
      </c>
      <c r="B426">
        <v>425</v>
      </c>
    </row>
    <row r="427" spans="1:2" x14ac:dyDescent="0.25">
      <c r="A427" t="s">
        <v>550</v>
      </c>
      <c r="B427">
        <v>426</v>
      </c>
    </row>
    <row r="428" spans="1:2" x14ac:dyDescent="0.25">
      <c r="A428" t="s">
        <v>175</v>
      </c>
      <c r="B428">
        <v>427</v>
      </c>
    </row>
    <row r="429" spans="1:2" x14ac:dyDescent="0.25">
      <c r="A429" t="s">
        <v>551</v>
      </c>
      <c r="B429">
        <v>428</v>
      </c>
    </row>
    <row r="430" spans="1:2" x14ac:dyDescent="0.25">
      <c r="A430" t="s">
        <v>169</v>
      </c>
      <c r="B430">
        <v>429</v>
      </c>
    </row>
    <row r="431" spans="1:2" x14ac:dyDescent="0.25">
      <c r="A431" t="s">
        <v>315</v>
      </c>
      <c r="B431">
        <v>430</v>
      </c>
    </row>
    <row r="432" spans="1:2" x14ac:dyDescent="0.25">
      <c r="A432" t="s">
        <v>552</v>
      </c>
      <c r="B432">
        <v>431</v>
      </c>
    </row>
    <row r="433" spans="1:2" x14ac:dyDescent="0.25">
      <c r="A433" t="s">
        <v>553</v>
      </c>
      <c r="B433">
        <v>432</v>
      </c>
    </row>
    <row r="434" spans="1:2" x14ac:dyDescent="0.25">
      <c r="A434" t="s">
        <v>554</v>
      </c>
      <c r="B434">
        <v>433</v>
      </c>
    </row>
    <row r="435" spans="1:2" x14ac:dyDescent="0.25">
      <c r="A435" t="s">
        <v>555</v>
      </c>
      <c r="B435">
        <v>434</v>
      </c>
    </row>
    <row r="436" spans="1:2" x14ac:dyDescent="0.25">
      <c r="A436" t="s">
        <v>556</v>
      </c>
      <c r="B436">
        <v>435</v>
      </c>
    </row>
    <row r="437" spans="1:2" x14ac:dyDescent="0.25">
      <c r="A437" t="s">
        <v>557</v>
      </c>
      <c r="B437">
        <v>436</v>
      </c>
    </row>
    <row r="438" spans="1:2" x14ac:dyDescent="0.25">
      <c r="A438" t="s">
        <v>229</v>
      </c>
      <c r="B438">
        <v>437</v>
      </c>
    </row>
    <row r="439" spans="1:2" x14ac:dyDescent="0.25">
      <c r="A439" t="s">
        <v>252</v>
      </c>
      <c r="B439">
        <v>438</v>
      </c>
    </row>
    <row r="440" spans="1:2" x14ac:dyDescent="0.25">
      <c r="A440" t="s">
        <v>558</v>
      </c>
      <c r="B440">
        <v>439</v>
      </c>
    </row>
    <row r="441" spans="1:2" x14ac:dyDescent="0.25">
      <c r="A441" t="s">
        <v>559</v>
      </c>
      <c r="B441">
        <v>440</v>
      </c>
    </row>
    <row r="442" spans="1:2" x14ac:dyDescent="0.25">
      <c r="A442" t="s">
        <v>560</v>
      </c>
      <c r="B442">
        <v>441</v>
      </c>
    </row>
    <row r="443" spans="1:2" x14ac:dyDescent="0.25">
      <c r="A443" t="s">
        <v>131</v>
      </c>
      <c r="B443">
        <v>442</v>
      </c>
    </row>
    <row r="444" spans="1:2" x14ac:dyDescent="0.25">
      <c r="A444" t="s">
        <v>561</v>
      </c>
      <c r="B444">
        <v>443</v>
      </c>
    </row>
    <row r="445" spans="1:2" x14ac:dyDescent="0.25">
      <c r="A445" t="s">
        <v>17</v>
      </c>
      <c r="B445">
        <v>444</v>
      </c>
    </row>
    <row r="446" spans="1:2" x14ac:dyDescent="0.25">
      <c r="A446" t="s">
        <v>562</v>
      </c>
      <c r="B446">
        <v>445</v>
      </c>
    </row>
    <row r="447" spans="1:2" x14ac:dyDescent="0.25">
      <c r="A447" t="s">
        <v>563</v>
      </c>
      <c r="B447">
        <v>446</v>
      </c>
    </row>
    <row r="448" spans="1:2" x14ac:dyDescent="0.25">
      <c r="A448" t="s">
        <v>564</v>
      </c>
      <c r="B448">
        <v>447</v>
      </c>
    </row>
    <row r="449" spans="1:2" x14ac:dyDescent="0.25">
      <c r="A449" t="s">
        <v>565</v>
      </c>
      <c r="B449">
        <v>448</v>
      </c>
    </row>
    <row r="450" spans="1:2" x14ac:dyDescent="0.25">
      <c r="A450" t="s">
        <v>566</v>
      </c>
      <c r="B450">
        <v>449</v>
      </c>
    </row>
    <row r="451" spans="1:2" x14ac:dyDescent="0.25">
      <c r="A451" t="s">
        <v>328</v>
      </c>
      <c r="B451">
        <v>450</v>
      </c>
    </row>
    <row r="452" spans="1:2" x14ac:dyDescent="0.25">
      <c r="A452" t="s">
        <v>567</v>
      </c>
      <c r="B452">
        <v>451</v>
      </c>
    </row>
    <row r="453" spans="1:2" x14ac:dyDescent="0.25">
      <c r="A453" t="s">
        <v>568</v>
      </c>
      <c r="B453">
        <v>452</v>
      </c>
    </row>
    <row r="454" spans="1:2" x14ac:dyDescent="0.25">
      <c r="A454" t="s">
        <v>223</v>
      </c>
      <c r="B454">
        <v>453</v>
      </c>
    </row>
    <row r="455" spans="1:2" x14ac:dyDescent="0.25">
      <c r="A455" t="s">
        <v>569</v>
      </c>
      <c r="B455">
        <v>454</v>
      </c>
    </row>
    <row r="456" spans="1:2" x14ac:dyDescent="0.25">
      <c r="A456" t="s">
        <v>570</v>
      </c>
      <c r="B456">
        <v>455</v>
      </c>
    </row>
    <row r="457" spans="1:2" x14ac:dyDescent="0.25">
      <c r="A457" t="s">
        <v>571</v>
      </c>
      <c r="B457">
        <v>456</v>
      </c>
    </row>
    <row r="458" spans="1:2" x14ac:dyDescent="0.25">
      <c r="A458" t="s">
        <v>572</v>
      </c>
      <c r="B458">
        <v>457</v>
      </c>
    </row>
    <row r="459" spans="1:2" x14ac:dyDescent="0.25">
      <c r="A459" t="s">
        <v>573</v>
      </c>
      <c r="B459">
        <v>458</v>
      </c>
    </row>
    <row r="460" spans="1:2" x14ac:dyDescent="0.25">
      <c r="A460" t="s">
        <v>574</v>
      </c>
      <c r="B460">
        <v>459</v>
      </c>
    </row>
    <row r="461" spans="1:2" x14ac:dyDescent="0.25">
      <c r="A461" t="s">
        <v>575</v>
      </c>
      <c r="B461">
        <v>460</v>
      </c>
    </row>
    <row r="462" spans="1:2" x14ac:dyDescent="0.25">
      <c r="A462" t="s">
        <v>576</v>
      </c>
      <c r="B462">
        <v>461</v>
      </c>
    </row>
    <row r="463" spans="1:2" x14ac:dyDescent="0.25">
      <c r="A463" t="s">
        <v>303</v>
      </c>
      <c r="B463">
        <v>462</v>
      </c>
    </row>
    <row r="464" spans="1:2" x14ac:dyDescent="0.25">
      <c r="A464" t="s">
        <v>141</v>
      </c>
      <c r="B464">
        <v>463</v>
      </c>
    </row>
    <row r="465" spans="1:2" x14ac:dyDescent="0.25">
      <c r="A465" t="s">
        <v>577</v>
      </c>
      <c r="B465">
        <v>464</v>
      </c>
    </row>
    <row r="466" spans="1:2" x14ac:dyDescent="0.25">
      <c r="A466" t="s">
        <v>578</v>
      </c>
      <c r="B466">
        <v>465</v>
      </c>
    </row>
    <row r="467" spans="1:2" x14ac:dyDescent="0.25">
      <c r="A467" t="s">
        <v>197</v>
      </c>
      <c r="B467">
        <v>466</v>
      </c>
    </row>
    <row r="468" spans="1:2" x14ac:dyDescent="0.25">
      <c r="A468" t="s">
        <v>579</v>
      </c>
      <c r="B468">
        <v>467</v>
      </c>
    </row>
    <row r="469" spans="1:2" x14ac:dyDescent="0.25">
      <c r="A469" t="s">
        <v>580</v>
      </c>
      <c r="B469">
        <v>468</v>
      </c>
    </row>
    <row r="470" spans="1:2" x14ac:dyDescent="0.25">
      <c r="A470" t="s">
        <v>347</v>
      </c>
      <c r="B470">
        <v>469</v>
      </c>
    </row>
    <row r="471" spans="1:2" x14ac:dyDescent="0.25">
      <c r="A471" t="s">
        <v>581</v>
      </c>
      <c r="B471">
        <v>470</v>
      </c>
    </row>
    <row r="472" spans="1:2" x14ac:dyDescent="0.25">
      <c r="A472" t="s">
        <v>582</v>
      </c>
      <c r="B472">
        <v>471</v>
      </c>
    </row>
    <row r="473" spans="1:2" x14ac:dyDescent="0.25">
      <c r="A473" t="s">
        <v>583</v>
      </c>
      <c r="B473">
        <v>472</v>
      </c>
    </row>
    <row r="474" spans="1:2" x14ac:dyDescent="0.25">
      <c r="A474" t="s">
        <v>584</v>
      </c>
      <c r="B474">
        <v>473</v>
      </c>
    </row>
    <row r="475" spans="1:2" x14ac:dyDescent="0.25">
      <c r="A475" t="s">
        <v>585</v>
      </c>
      <c r="B475">
        <v>474</v>
      </c>
    </row>
    <row r="476" spans="1:2" x14ac:dyDescent="0.25">
      <c r="A476" t="s">
        <v>586</v>
      </c>
      <c r="B476">
        <v>475</v>
      </c>
    </row>
    <row r="477" spans="1:2" x14ac:dyDescent="0.25">
      <c r="A477" t="s">
        <v>587</v>
      </c>
      <c r="B477">
        <v>476</v>
      </c>
    </row>
    <row r="478" spans="1:2" x14ac:dyDescent="0.25">
      <c r="A478" t="s">
        <v>317</v>
      </c>
      <c r="B478">
        <v>477</v>
      </c>
    </row>
    <row r="479" spans="1:2" x14ac:dyDescent="0.25">
      <c r="A479" t="s">
        <v>29</v>
      </c>
      <c r="B479">
        <v>478</v>
      </c>
    </row>
    <row r="480" spans="1:2" x14ac:dyDescent="0.25">
      <c r="A480" t="s">
        <v>588</v>
      </c>
      <c r="B480">
        <v>479</v>
      </c>
    </row>
    <row r="481" spans="1:2" x14ac:dyDescent="0.25">
      <c r="A481" t="s">
        <v>289</v>
      </c>
      <c r="B481">
        <v>480</v>
      </c>
    </row>
    <row r="482" spans="1:2" x14ac:dyDescent="0.25">
      <c r="A482" t="s">
        <v>248</v>
      </c>
      <c r="B482">
        <v>481</v>
      </c>
    </row>
    <row r="483" spans="1:2" x14ac:dyDescent="0.25">
      <c r="A483" t="s">
        <v>589</v>
      </c>
      <c r="B483">
        <v>482</v>
      </c>
    </row>
    <row r="484" spans="1:2" x14ac:dyDescent="0.25">
      <c r="A484" t="s">
        <v>590</v>
      </c>
      <c r="B484">
        <v>483</v>
      </c>
    </row>
    <row r="485" spans="1:2" x14ac:dyDescent="0.25">
      <c r="A485" t="s">
        <v>591</v>
      </c>
      <c r="B485">
        <v>484</v>
      </c>
    </row>
    <row r="486" spans="1:2" x14ac:dyDescent="0.25">
      <c r="A486" t="s">
        <v>592</v>
      </c>
      <c r="B486">
        <v>485</v>
      </c>
    </row>
    <row r="487" spans="1:2" x14ac:dyDescent="0.25">
      <c r="A487" t="s">
        <v>93</v>
      </c>
      <c r="B487">
        <v>486</v>
      </c>
    </row>
    <row r="488" spans="1:2" x14ac:dyDescent="0.25">
      <c r="A488" t="s">
        <v>593</v>
      </c>
      <c r="B488">
        <v>487</v>
      </c>
    </row>
    <row r="489" spans="1:2" x14ac:dyDescent="0.25">
      <c r="A489" t="s">
        <v>594</v>
      </c>
      <c r="B489">
        <v>488</v>
      </c>
    </row>
    <row r="490" spans="1:2" x14ac:dyDescent="0.25">
      <c r="A490" t="s">
        <v>595</v>
      </c>
      <c r="B490">
        <v>489</v>
      </c>
    </row>
    <row r="491" spans="1:2" x14ac:dyDescent="0.25">
      <c r="A491" t="s">
        <v>348</v>
      </c>
      <c r="B491">
        <v>490</v>
      </c>
    </row>
    <row r="492" spans="1:2" x14ac:dyDescent="0.25">
      <c r="A492" t="s">
        <v>102</v>
      </c>
      <c r="B492">
        <v>491</v>
      </c>
    </row>
    <row r="493" spans="1:2" x14ac:dyDescent="0.25">
      <c r="A493" t="s">
        <v>222</v>
      </c>
      <c r="B493">
        <v>492</v>
      </c>
    </row>
    <row r="494" spans="1:2" x14ac:dyDescent="0.25">
      <c r="A494" t="s">
        <v>596</v>
      </c>
      <c r="B494">
        <v>493</v>
      </c>
    </row>
    <row r="495" spans="1:2" x14ac:dyDescent="0.25">
      <c r="A495" t="s">
        <v>199</v>
      </c>
      <c r="B495">
        <v>494</v>
      </c>
    </row>
    <row r="496" spans="1:2" x14ac:dyDescent="0.25">
      <c r="A496" t="s">
        <v>597</v>
      </c>
      <c r="B496">
        <v>495</v>
      </c>
    </row>
    <row r="497" spans="1:2" x14ac:dyDescent="0.25">
      <c r="A497" t="s">
        <v>22</v>
      </c>
      <c r="B497">
        <v>496</v>
      </c>
    </row>
    <row r="498" spans="1:2" x14ac:dyDescent="0.25">
      <c r="A498" t="s">
        <v>231</v>
      </c>
      <c r="B498">
        <v>497</v>
      </c>
    </row>
    <row r="499" spans="1:2" x14ac:dyDescent="0.25">
      <c r="A499" t="s">
        <v>598</v>
      </c>
      <c r="B499">
        <v>498</v>
      </c>
    </row>
    <row r="500" spans="1:2" x14ac:dyDescent="0.25">
      <c r="A500" t="s">
        <v>599</v>
      </c>
      <c r="B500">
        <v>499</v>
      </c>
    </row>
    <row r="501" spans="1:2" x14ac:dyDescent="0.25">
      <c r="A501" t="s">
        <v>600</v>
      </c>
      <c r="B501">
        <v>500</v>
      </c>
    </row>
    <row r="502" spans="1:2" x14ac:dyDescent="0.25">
      <c r="A502" t="s">
        <v>601</v>
      </c>
      <c r="B502">
        <v>501</v>
      </c>
    </row>
    <row r="503" spans="1:2" x14ac:dyDescent="0.25">
      <c r="A503" t="s">
        <v>122</v>
      </c>
      <c r="B503">
        <v>502</v>
      </c>
    </row>
    <row r="504" spans="1:2" x14ac:dyDescent="0.25">
      <c r="A504" t="s">
        <v>183</v>
      </c>
      <c r="B504">
        <v>503</v>
      </c>
    </row>
    <row r="505" spans="1:2" x14ac:dyDescent="0.25">
      <c r="A505" t="s">
        <v>353</v>
      </c>
      <c r="B505">
        <v>504</v>
      </c>
    </row>
    <row r="506" spans="1:2" x14ac:dyDescent="0.25">
      <c r="A506" t="s">
        <v>602</v>
      </c>
      <c r="B506">
        <v>505</v>
      </c>
    </row>
    <row r="507" spans="1:2" x14ac:dyDescent="0.25">
      <c r="A507" t="s">
        <v>163</v>
      </c>
      <c r="B507">
        <v>506</v>
      </c>
    </row>
    <row r="508" spans="1:2" x14ac:dyDescent="0.25">
      <c r="A508" t="s">
        <v>138</v>
      </c>
      <c r="B508">
        <v>507</v>
      </c>
    </row>
    <row r="509" spans="1:2" x14ac:dyDescent="0.25">
      <c r="A509" t="s">
        <v>603</v>
      </c>
      <c r="B509">
        <v>508</v>
      </c>
    </row>
    <row r="510" spans="1:2" x14ac:dyDescent="0.25">
      <c r="A510" t="s">
        <v>604</v>
      </c>
      <c r="B510">
        <v>509</v>
      </c>
    </row>
    <row r="511" spans="1:2" x14ac:dyDescent="0.25">
      <c r="A511" t="s">
        <v>605</v>
      </c>
      <c r="B511">
        <v>510</v>
      </c>
    </row>
    <row r="512" spans="1:2" x14ac:dyDescent="0.25">
      <c r="A512" t="s">
        <v>287</v>
      </c>
      <c r="B512">
        <v>511</v>
      </c>
    </row>
    <row r="513" spans="1:2" x14ac:dyDescent="0.25">
      <c r="A513" t="s">
        <v>606</v>
      </c>
      <c r="B513">
        <v>512</v>
      </c>
    </row>
    <row r="514" spans="1:2" x14ac:dyDescent="0.25">
      <c r="A514" t="s">
        <v>41</v>
      </c>
      <c r="B514">
        <v>513</v>
      </c>
    </row>
    <row r="515" spans="1:2" x14ac:dyDescent="0.25">
      <c r="A515" t="s">
        <v>333</v>
      </c>
      <c r="B515">
        <v>514</v>
      </c>
    </row>
    <row r="516" spans="1:2" x14ac:dyDescent="0.25">
      <c r="A516" t="s">
        <v>607</v>
      </c>
      <c r="B516">
        <v>515</v>
      </c>
    </row>
    <row r="517" spans="1:2" x14ac:dyDescent="0.25">
      <c r="A517" t="s">
        <v>608</v>
      </c>
      <c r="B517">
        <v>516</v>
      </c>
    </row>
    <row r="518" spans="1:2" x14ac:dyDescent="0.25">
      <c r="A518" t="s">
        <v>349</v>
      </c>
      <c r="B518">
        <v>517</v>
      </c>
    </row>
    <row r="519" spans="1:2" x14ac:dyDescent="0.25">
      <c r="A519" t="s">
        <v>609</v>
      </c>
      <c r="B519">
        <v>518</v>
      </c>
    </row>
    <row r="520" spans="1:2" x14ac:dyDescent="0.25">
      <c r="A520" t="s">
        <v>275</v>
      </c>
      <c r="B520">
        <v>519</v>
      </c>
    </row>
    <row r="521" spans="1:2" x14ac:dyDescent="0.25">
      <c r="A521" t="s">
        <v>610</v>
      </c>
      <c r="B521">
        <v>520</v>
      </c>
    </row>
    <row r="522" spans="1:2" x14ac:dyDescent="0.25">
      <c r="A522" t="s">
        <v>611</v>
      </c>
      <c r="B522">
        <v>521</v>
      </c>
    </row>
    <row r="523" spans="1:2" x14ac:dyDescent="0.25">
      <c r="A523" t="s">
        <v>612</v>
      </c>
      <c r="B523">
        <v>522</v>
      </c>
    </row>
    <row r="524" spans="1:2" x14ac:dyDescent="0.25">
      <c r="A524" t="s">
        <v>152</v>
      </c>
      <c r="B524">
        <v>523</v>
      </c>
    </row>
    <row r="525" spans="1:2" x14ac:dyDescent="0.25">
      <c r="A525" t="s">
        <v>276</v>
      </c>
      <c r="B525">
        <v>524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46"/>
  <sheetViews>
    <sheetView workbookViewId="0"/>
  </sheetViews>
  <sheetFormatPr baseColWidth="10" defaultRowHeight="12.5" x14ac:dyDescent="0.25"/>
  <cols>
    <col min="1" max="1" width="17" bestFit="1" customWidth="1"/>
    <col min="2" max="2" width="12.36328125" customWidth="1"/>
    <col min="3" max="3" width="13.90625" bestFit="1" customWidth="1"/>
    <col min="4" max="4" width="14" bestFit="1" customWidth="1"/>
    <col min="5" max="5" width="17.453125" bestFit="1" customWidth="1"/>
    <col min="6" max="6" width="11.1796875" bestFit="1" customWidth="1"/>
    <col min="7" max="7" width="10.90625" customWidth="1"/>
    <col min="8" max="8" width="16.6328125" customWidth="1"/>
    <col min="9" max="9" width="18.26953125" customWidth="1"/>
    <col min="10" max="10" width="17.26953125" customWidth="1"/>
    <col min="11" max="11" width="18.6328125" customWidth="1"/>
    <col min="12" max="12" width="10.90625" customWidth="1"/>
  </cols>
  <sheetData>
    <row r="1" spans="1:9" s="2" customFormat="1" ht="13" customHeight="1" thickBot="1" x14ac:dyDescent="0.3"/>
    <row r="2" spans="1:9" ht="13" customHeight="1" thickBot="1" x14ac:dyDescent="0.3">
      <c r="H2" t="s">
        <v>613</v>
      </c>
      <c r="I2" s="23" t="s">
        <v>137</v>
      </c>
    </row>
    <row r="3" spans="1:9" ht="13" customHeight="1" thickBot="1" x14ac:dyDescent="0.3">
      <c r="H3" t="s">
        <v>614</v>
      </c>
      <c r="I3" s="24">
        <f>VLOOKUP(I2,Clausulas!$A$5:$F$46,5,0)</f>
        <v>6500000</v>
      </c>
    </row>
    <row r="4" spans="1:9" x14ac:dyDescent="0.25">
      <c r="A4" s="2" t="s">
        <v>615</v>
      </c>
      <c r="B4" s="2" t="s">
        <v>616</v>
      </c>
      <c r="C4" s="2" t="s">
        <v>617</v>
      </c>
      <c r="D4" s="2" t="s">
        <v>362</v>
      </c>
      <c r="E4" s="2" t="s">
        <v>618</v>
      </c>
      <c r="F4" s="25" t="s">
        <v>619</v>
      </c>
    </row>
    <row r="5" spans="1:9" x14ac:dyDescent="0.25">
      <c r="A5" t="s">
        <v>91</v>
      </c>
      <c r="B5" s="18">
        <v>3180000</v>
      </c>
      <c r="C5" t="s">
        <v>620</v>
      </c>
      <c r="D5">
        <f>VLOOKUP(A5,Id_Jugadores!A$2:B$523,2,0)</f>
        <v>385</v>
      </c>
      <c r="E5" s="26">
        <f>_xlfn.MAXIFS(Clausulas!$B$5:$B$46,Clausulas!$D$5:$D$46,Clausulas!$D5)</f>
        <v>3180000</v>
      </c>
      <c r="F5" t="str">
        <f>IF(COUNTIF(Clausulas!$D$5:$D$46,D5)=2,"Si","No")</f>
        <v>No</v>
      </c>
    </row>
    <row r="6" spans="1:9" x14ac:dyDescent="0.25">
      <c r="A6" t="s">
        <v>94</v>
      </c>
      <c r="B6" s="18">
        <v>770100</v>
      </c>
      <c r="C6" t="s">
        <v>620</v>
      </c>
      <c r="D6">
        <f>VLOOKUP(A6,Id_Jugadores!A$2:B$523,2,0)</f>
        <v>239</v>
      </c>
      <c r="E6" s="26">
        <f>_xlfn.MAXIFS(Clausulas!$B$5:$B$46,Clausulas!$D$5:$D$46,Clausulas!$D6)</f>
        <v>770100</v>
      </c>
      <c r="F6" t="str">
        <f>IF(COUNTIF(Clausulas!$D$5:$D$46,D6)=2,"Si","No")</f>
        <v>No</v>
      </c>
    </row>
    <row r="7" spans="1:9" x14ac:dyDescent="0.25">
      <c r="A7" t="s">
        <v>42</v>
      </c>
      <c r="B7" s="18">
        <v>670110</v>
      </c>
      <c r="C7" t="s">
        <v>620</v>
      </c>
      <c r="D7">
        <f>VLOOKUP(A7,Id_Jugadores!A$2:B$523,2,0)</f>
        <v>156</v>
      </c>
      <c r="E7" s="26">
        <f>_xlfn.MAXIFS(Clausulas!$B$5:$B$46,Clausulas!$D$5:$D$46,Clausulas!$D7)</f>
        <v>670110</v>
      </c>
      <c r="F7" t="str">
        <f>IF(COUNTIF(Clausulas!$D$5:$D$46,D7)=2,"Si","No")</f>
        <v>No</v>
      </c>
    </row>
    <row r="8" spans="1:9" x14ac:dyDescent="0.25">
      <c r="A8" t="s">
        <v>98</v>
      </c>
      <c r="B8" s="18">
        <v>691000</v>
      </c>
      <c r="C8" t="s">
        <v>620</v>
      </c>
      <c r="D8">
        <f>VLOOKUP(A8,Id_Jugadores!A$2:B$523,2,0)</f>
        <v>108</v>
      </c>
      <c r="E8" s="26">
        <f>_xlfn.MAXIFS(Clausulas!$B$5:$B$46,Clausulas!$D$5:$D$46,Clausulas!$D8)</f>
        <v>691000</v>
      </c>
      <c r="F8" t="str">
        <f>IF(COUNTIF(Clausulas!$D$5:$D$46,D8)=2,"Si","No")</f>
        <v>No</v>
      </c>
    </row>
    <row r="9" spans="1:9" x14ac:dyDescent="0.25">
      <c r="A9" t="s">
        <v>14</v>
      </c>
      <c r="B9" s="18">
        <v>4000000</v>
      </c>
      <c r="C9" t="s">
        <v>621</v>
      </c>
      <c r="D9">
        <f>VLOOKUP(A9,Id_Jugadores!A$2:B$523,2,0)</f>
        <v>218</v>
      </c>
      <c r="E9" s="26">
        <f>_xlfn.MAXIFS(Clausulas!$B$5:$B$46,Clausulas!$D$5:$D$46,Clausulas!$D9)</f>
        <v>4000000</v>
      </c>
      <c r="F9" t="str">
        <f>IF(COUNTIF(Clausulas!$D$5:$D$46,D9)=2,"Si","No")</f>
        <v>No</v>
      </c>
    </row>
    <row r="10" spans="1:9" x14ac:dyDescent="0.25">
      <c r="A10" t="s">
        <v>18</v>
      </c>
      <c r="B10" s="18">
        <v>8000000</v>
      </c>
      <c r="C10" t="s">
        <v>621</v>
      </c>
      <c r="D10">
        <f>VLOOKUP(A10,Id_Jugadores!A$2:B$523,2,0)</f>
        <v>158</v>
      </c>
      <c r="E10" s="26">
        <f>_xlfn.MAXIFS(Clausulas!$B$5:$B$46,Clausulas!$D$5:$D$46,Clausulas!$D10)</f>
        <v>8000000</v>
      </c>
      <c r="F10" t="str">
        <f>IF(COUNTIF(Clausulas!$D$5:$D$46,D10)=2,"Si","No")</f>
        <v>No</v>
      </c>
    </row>
    <row r="11" spans="1:9" x14ac:dyDescent="0.25">
      <c r="A11" t="s">
        <v>21</v>
      </c>
      <c r="B11" s="18">
        <v>3300000</v>
      </c>
      <c r="C11" t="s">
        <v>621</v>
      </c>
      <c r="D11">
        <f>VLOOKUP(A11,Id_Jugadores!A$2:B$523,2,0)</f>
        <v>94</v>
      </c>
      <c r="E11" s="26">
        <f>_xlfn.MAXIFS(Clausulas!$B$5:$B$46,Clausulas!$D$5:$D$46,Clausulas!$D11)</f>
        <v>3300000</v>
      </c>
      <c r="F11" t="str">
        <f>IF(COUNTIF(Clausulas!$D$5:$D$46,D11)=2,"Si","No")</f>
        <v>No</v>
      </c>
    </row>
    <row r="12" spans="1:9" x14ac:dyDescent="0.25">
      <c r="A12" t="s">
        <v>327</v>
      </c>
      <c r="B12" s="18">
        <v>4200000</v>
      </c>
      <c r="C12" t="s">
        <v>622</v>
      </c>
      <c r="D12">
        <f>VLOOKUP(A12,Id_Jugadores!A$2:B$523,2,0)</f>
        <v>71</v>
      </c>
      <c r="E12" s="26">
        <f>_xlfn.MAXIFS(Clausulas!$B$5:$B$46,Clausulas!$D$5:$D$46,Clausulas!$D12)</f>
        <v>4200000</v>
      </c>
      <c r="F12" t="str">
        <f>IF(COUNTIF(Clausulas!$D$5:$D$46,D12)=2,"Si","No")</f>
        <v>No</v>
      </c>
    </row>
    <row r="13" spans="1:9" x14ac:dyDescent="0.25">
      <c r="A13" t="s">
        <v>121</v>
      </c>
      <c r="B13" s="18">
        <v>3000000</v>
      </c>
      <c r="C13" t="s">
        <v>622</v>
      </c>
      <c r="D13">
        <f>VLOOKUP(A13,Id_Jugadores!A$2:B$523,2,0)</f>
        <v>324</v>
      </c>
      <c r="E13" s="26">
        <f>_xlfn.MAXIFS(Clausulas!$B$5:$B$46,Clausulas!$D$5:$D$46,Clausulas!$D13)</f>
        <v>3000000</v>
      </c>
      <c r="F13" t="str">
        <f>IF(COUNTIF(Clausulas!$D$5:$D$46,D13)=2,"Si","No")</f>
        <v>No</v>
      </c>
    </row>
    <row r="14" spans="1:9" x14ac:dyDescent="0.25">
      <c r="A14" t="s">
        <v>330</v>
      </c>
      <c r="B14" s="18">
        <v>5000000</v>
      </c>
      <c r="C14" t="s">
        <v>622</v>
      </c>
      <c r="D14">
        <f>VLOOKUP(A14,Id_Jugadores!A$2:B$523,2,0)</f>
        <v>9</v>
      </c>
      <c r="E14" s="26">
        <f>_xlfn.MAXIFS(Clausulas!$B$5:$B$46,Clausulas!$D$5:$D$46,Clausulas!$D14)</f>
        <v>5000000</v>
      </c>
      <c r="F14" t="str">
        <f>IF(COUNTIF(Clausulas!$D$5:$D$46,D14)=2,"Si","No")</f>
        <v>No</v>
      </c>
    </row>
    <row r="15" spans="1:9" x14ac:dyDescent="0.25">
      <c r="A15" t="s">
        <v>95</v>
      </c>
      <c r="B15" s="18">
        <v>1190000</v>
      </c>
      <c r="C15" t="s">
        <v>622</v>
      </c>
      <c r="D15">
        <f>VLOOKUP(A15,Id_Jugadores!A$2:B$523,2,0)</f>
        <v>105</v>
      </c>
      <c r="E15" s="26">
        <f>_xlfn.MAXIFS(Clausulas!$B$5:$B$46,Clausulas!$D$5:$D$46,Clausulas!$D15)</f>
        <v>1190000</v>
      </c>
      <c r="F15" t="str">
        <f>IF(COUNTIF(Clausulas!$D$5:$D$46,D15)=2,"Si","No")</f>
        <v>No</v>
      </c>
    </row>
    <row r="16" spans="1:9" x14ac:dyDescent="0.25">
      <c r="A16" t="s">
        <v>137</v>
      </c>
      <c r="B16" s="27">
        <v>6500000</v>
      </c>
      <c r="C16" t="s">
        <v>622</v>
      </c>
      <c r="D16">
        <f>VLOOKUP(A16,Id_Jugadores!A$2:B$523,2,0)</f>
        <v>45</v>
      </c>
      <c r="E16" s="26">
        <f>_xlfn.MAXIFS(Clausulas!$B$5:$B$46,Clausulas!$D$5:$D$46,Clausulas!$D16)</f>
        <v>6500000</v>
      </c>
      <c r="F16" t="str">
        <f>IF(COUNTIF(Clausulas!$D$5:$D$46,D16)=2,"Si","No")</f>
        <v>Si</v>
      </c>
    </row>
    <row r="17" spans="1:6" x14ac:dyDescent="0.25">
      <c r="A17" t="s">
        <v>151</v>
      </c>
      <c r="B17" s="18">
        <v>4050000</v>
      </c>
      <c r="C17" t="s">
        <v>623</v>
      </c>
      <c r="D17">
        <f>VLOOKUP(A17,Id_Jugadores!A$2:B$523,2,0)</f>
        <v>141</v>
      </c>
      <c r="E17" s="26">
        <f>_xlfn.MAXIFS(Clausulas!$B$5:$B$46,Clausulas!$D$5:$D$46,Clausulas!$D17)</f>
        <v>4050000</v>
      </c>
      <c r="F17" t="str">
        <f>IF(COUNTIF(Clausulas!$D$5:$D$46,D17)=2,"Si","No")</f>
        <v>No</v>
      </c>
    </row>
    <row r="18" spans="1:6" x14ac:dyDescent="0.25">
      <c r="A18" t="s">
        <v>168</v>
      </c>
      <c r="B18" s="18">
        <v>1530030</v>
      </c>
      <c r="C18" t="s">
        <v>623</v>
      </c>
      <c r="D18">
        <f>VLOOKUP(A18,Id_Jugadores!A$2:B$523,2,0)</f>
        <v>103</v>
      </c>
      <c r="E18" s="26">
        <f>_xlfn.MAXIFS(Clausulas!$B$5:$B$46,Clausulas!$D$5:$D$46,Clausulas!$D18)</f>
        <v>1530030</v>
      </c>
      <c r="F18" t="str">
        <f>IF(COUNTIF(Clausulas!$D$5:$D$46,D18)=2,"Si","No")</f>
        <v>No</v>
      </c>
    </row>
    <row r="19" spans="1:6" x14ac:dyDescent="0.25">
      <c r="A19" t="s">
        <v>171</v>
      </c>
      <c r="B19" s="27">
        <v>3270000</v>
      </c>
      <c r="C19" t="s">
        <v>623</v>
      </c>
      <c r="D19">
        <f>VLOOKUP(A19,Id_Jugadores!A$2:B$523,2,0)</f>
        <v>169</v>
      </c>
      <c r="E19" s="26">
        <f>_xlfn.MAXIFS(Clausulas!$B$5:$B$46,Clausulas!$D$5:$D$46,Clausulas!$D19)</f>
        <v>3270000</v>
      </c>
      <c r="F19" t="str">
        <f>IF(COUNTIF(Clausulas!$D$5:$D$46,D19)=2,"Si","No")</f>
        <v>No</v>
      </c>
    </row>
    <row r="20" spans="1:6" x14ac:dyDescent="0.25">
      <c r="A20" t="s">
        <v>174</v>
      </c>
      <c r="B20" s="27">
        <v>3570000</v>
      </c>
      <c r="C20" t="s">
        <v>623</v>
      </c>
      <c r="D20">
        <f>VLOOKUP(A20,Id_Jugadores!A$2:B$523,2,0)</f>
        <v>163</v>
      </c>
      <c r="E20" s="26">
        <f>_xlfn.MAXIFS(Clausulas!$B$5:$B$46,Clausulas!$D$5:$D$46,Clausulas!$D20)</f>
        <v>3570000</v>
      </c>
      <c r="F20" t="str">
        <f>IF(COUNTIF(Clausulas!$D$5:$D$46,D20)=2,"Si","No")</f>
        <v>No</v>
      </c>
    </row>
    <row r="21" spans="1:6" x14ac:dyDescent="0.25">
      <c r="A21" t="s">
        <v>177</v>
      </c>
      <c r="B21" s="27">
        <v>800000</v>
      </c>
      <c r="C21" t="s">
        <v>623</v>
      </c>
      <c r="D21">
        <f>VLOOKUP(A21,Id_Jugadores!A$2:B$523,2,0)</f>
        <v>15</v>
      </c>
      <c r="E21" s="26">
        <f>_xlfn.MAXIFS(Clausulas!$B$5:$B$46,Clausulas!$D$5:$D$46,Clausulas!$D21)</f>
        <v>800000</v>
      </c>
      <c r="F21" t="str">
        <f>IF(COUNTIF(Clausulas!$D$5:$D$46,D21)=2,"Si","No")</f>
        <v>No</v>
      </c>
    </row>
    <row r="22" spans="1:6" x14ac:dyDescent="0.25">
      <c r="A22" t="s">
        <v>180</v>
      </c>
      <c r="B22" s="18">
        <v>1720000</v>
      </c>
      <c r="C22" t="s">
        <v>623</v>
      </c>
      <c r="D22">
        <f>VLOOKUP(A22,Id_Jugadores!A$2:B$523,2,0)</f>
        <v>411</v>
      </c>
      <c r="E22" s="26">
        <f>_xlfn.MAXIFS(Clausulas!$B$5:$B$46,Clausulas!$D$5:$D$46,Clausulas!$D22)</f>
        <v>1720000</v>
      </c>
      <c r="F22" t="str">
        <f>IF(COUNTIF(Clausulas!$D$5:$D$46,D22)=2,"Si","No")</f>
        <v>No</v>
      </c>
    </row>
    <row r="23" spans="1:6" x14ac:dyDescent="0.25">
      <c r="A23" t="s">
        <v>182</v>
      </c>
      <c r="B23" s="18">
        <v>1230000</v>
      </c>
      <c r="C23" t="s">
        <v>623</v>
      </c>
      <c r="D23">
        <f>VLOOKUP(A23,Id_Jugadores!A$2:B$523,2,0)</f>
        <v>110</v>
      </c>
      <c r="E23" s="26">
        <f>_xlfn.MAXIFS(Clausulas!$B$5:$B$46,Clausulas!$D$5:$D$46,Clausulas!$D23)</f>
        <v>1230000</v>
      </c>
      <c r="F23" t="str">
        <f>IF(COUNTIF(Clausulas!$D$5:$D$46,D23)=2,"Si","No")</f>
        <v>No</v>
      </c>
    </row>
    <row r="24" spans="1:6" x14ac:dyDescent="0.25">
      <c r="A24" t="s">
        <v>185</v>
      </c>
      <c r="B24" s="27">
        <v>3520000</v>
      </c>
      <c r="C24" t="s">
        <v>623</v>
      </c>
      <c r="D24">
        <f>VLOOKUP(A24,Id_Jugadores!A$2:B$523,2,0)</f>
        <v>54</v>
      </c>
      <c r="E24" s="26">
        <f>_xlfn.MAXIFS(Clausulas!$B$5:$B$46,Clausulas!$D$5:$D$46,Clausulas!$D24)</f>
        <v>3520000</v>
      </c>
      <c r="F24" t="str">
        <f>IF(COUNTIF(Clausulas!$D$5:$D$46,D24)=2,"Si","No")</f>
        <v>No</v>
      </c>
    </row>
    <row r="25" spans="1:6" x14ac:dyDescent="0.25">
      <c r="A25" t="s">
        <v>196</v>
      </c>
      <c r="B25" s="18">
        <v>650000</v>
      </c>
      <c r="C25" t="s">
        <v>624</v>
      </c>
      <c r="D25">
        <f>VLOOKUP(A25,Id_Jugadores!A$2:B$523,2,0)</f>
        <v>180</v>
      </c>
      <c r="E25" s="26">
        <f>_xlfn.MAXIFS(Clausulas!$B$5:$B$46,Clausulas!$D$5:$D$46,Clausulas!$D25)</f>
        <v>650000</v>
      </c>
      <c r="F25" t="str">
        <f>IF(COUNTIF(Clausulas!$D$5:$D$46,D25)=2,"Si","No")</f>
        <v>No</v>
      </c>
    </row>
    <row r="26" spans="1:6" x14ac:dyDescent="0.25">
      <c r="A26" t="s">
        <v>198</v>
      </c>
      <c r="B26" s="18">
        <v>8000000</v>
      </c>
      <c r="C26" t="s">
        <v>624</v>
      </c>
      <c r="D26">
        <f>VLOOKUP(A26,Id_Jugadores!A$2:B$523,2,0)</f>
        <v>183</v>
      </c>
      <c r="E26" s="26">
        <f>_xlfn.MAXIFS(Clausulas!$B$5:$B$46,Clausulas!$D$5:$D$46,Clausulas!$D26)</f>
        <v>8000000</v>
      </c>
      <c r="F26" t="str">
        <f>IF(COUNTIF(Clausulas!$D$5:$D$46,D26)=2,"Si","No")</f>
        <v>No</v>
      </c>
    </row>
    <row r="27" spans="1:6" x14ac:dyDescent="0.25">
      <c r="A27" t="s">
        <v>202</v>
      </c>
      <c r="B27" s="27">
        <v>1750000</v>
      </c>
      <c r="C27" t="s">
        <v>624</v>
      </c>
      <c r="D27">
        <f>VLOOKUP(A27,Id_Jugadores!A$2:B$523,2,0)</f>
        <v>413</v>
      </c>
      <c r="E27" s="26">
        <f>_xlfn.MAXIFS(Clausulas!$B$5:$B$46,Clausulas!$D$5:$D$46,Clausulas!$D27)</f>
        <v>1750000</v>
      </c>
      <c r="F27" t="str">
        <f>IF(COUNTIF(Clausulas!$D$5:$D$46,D27)=2,"Si","No")</f>
        <v>No</v>
      </c>
    </row>
    <row r="28" spans="1:6" x14ac:dyDescent="0.25">
      <c r="A28" t="s">
        <v>204</v>
      </c>
      <c r="B28" s="27">
        <v>300000</v>
      </c>
      <c r="C28" t="s">
        <v>624</v>
      </c>
      <c r="D28">
        <f>VLOOKUP(A28,Id_Jugadores!A$2:B$523,2,0)</f>
        <v>251</v>
      </c>
      <c r="E28" s="26">
        <f>_xlfn.MAXIFS(Clausulas!$B$5:$B$46,Clausulas!$D$5:$D$46,Clausulas!$D28)</f>
        <v>300000</v>
      </c>
      <c r="F28" t="str">
        <f>IF(COUNTIF(Clausulas!$D$5:$D$46,D28)=2,"Si","No")</f>
        <v>No</v>
      </c>
    </row>
    <row r="29" spans="1:6" x14ac:dyDescent="0.25">
      <c r="A29" t="s">
        <v>206</v>
      </c>
      <c r="B29" s="27">
        <v>1400000</v>
      </c>
      <c r="C29" t="s">
        <v>624</v>
      </c>
      <c r="D29">
        <f>VLOOKUP(A29,Id_Jugadores!A$2:B$523,2,0)</f>
        <v>414</v>
      </c>
      <c r="E29" s="26">
        <f>_xlfn.MAXIFS(Clausulas!$B$5:$B$46,Clausulas!$D$5:$D$46,Clausulas!$D29)</f>
        <v>1400000</v>
      </c>
      <c r="F29" t="str">
        <f>IF(COUNTIF(Clausulas!$D$5:$D$46,D29)=2,"Si","No")</f>
        <v>No</v>
      </c>
    </row>
    <row r="30" spans="1:6" x14ac:dyDescent="0.25">
      <c r="A30" t="s">
        <v>154</v>
      </c>
      <c r="B30" s="18">
        <v>1800000</v>
      </c>
      <c r="C30" t="s">
        <v>625</v>
      </c>
      <c r="D30">
        <f>VLOOKUP(A30,Id_Jugadores!A$2:B$523,2,0)</f>
        <v>261</v>
      </c>
      <c r="E30" s="26">
        <f>_xlfn.MAXIFS(Clausulas!$B$5:$B$46,Clausulas!$D$5:$D$46,Clausulas!$D30)</f>
        <v>1800000</v>
      </c>
      <c r="F30" t="str">
        <f>IF(COUNTIF(Clausulas!$D$5:$D$46,D30)=2,"Si","No")</f>
        <v>No</v>
      </c>
    </row>
    <row r="31" spans="1:6" x14ac:dyDescent="0.25">
      <c r="A31" t="s">
        <v>225</v>
      </c>
      <c r="B31" s="18">
        <v>3950000</v>
      </c>
      <c r="C31" t="s">
        <v>625</v>
      </c>
      <c r="D31">
        <f>VLOOKUP(A31,Id_Jugadores!A$2:B$523,2,0)</f>
        <v>253</v>
      </c>
      <c r="E31" s="26">
        <f>_xlfn.MAXIFS(Clausulas!$B$5:$B$46,Clausulas!$D$5:$D$46,Clausulas!$D31)</f>
        <v>3950000</v>
      </c>
      <c r="F31" t="str">
        <f>IF(COUNTIF(Clausulas!$D$5:$D$46,D31)=2,"Si","No")</f>
        <v>No</v>
      </c>
    </row>
    <row r="32" spans="1:6" x14ac:dyDescent="0.25">
      <c r="A32" t="s">
        <v>226</v>
      </c>
      <c r="B32" s="27">
        <v>7300000</v>
      </c>
      <c r="C32" t="s">
        <v>625</v>
      </c>
      <c r="D32">
        <f>VLOOKUP(A32,Id_Jugadores!A$2:B$523,2,0)</f>
        <v>66</v>
      </c>
      <c r="E32" s="26">
        <f>_xlfn.MAXIFS(Clausulas!$B$5:$B$46,Clausulas!$D$5:$D$46,Clausulas!$D32)</f>
        <v>7300000</v>
      </c>
      <c r="F32" t="str">
        <f>IF(COUNTIF(Clausulas!$D$5:$D$46,D32)=2,"Si","No")</f>
        <v>No</v>
      </c>
    </row>
    <row r="33" spans="1:6" x14ac:dyDescent="0.25">
      <c r="A33" t="s">
        <v>228</v>
      </c>
      <c r="B33" s="27">
        <v>5700000</v>
      </c>
      <c r="C33" t="s">
        <v>625</v>
      </c>
      <c r="D33">
        <f>VLOOKUP(A33,Id_Jugadores!A$2:B$523,2,0)</f>
        <v>84</v>
      </c>
      <c r="E33" s="26">
        <f>_xlfn.MAXIFS(Clausulas!$B$5:$B$46,Clausulas!$D$5:$D$46,Clausulas!$D33)</f>
        <v>5700000</v>
      </c>
      <c r="F33" t="str">
        <f>IF(COUNTIF(Clausulas!$D$5:$D$46,D33)=2,"Si","No")</f>
        <v>No</v>
      </c>
    </row>
    <row r="34" spans="1:6" x14ac:dyDescent="0.25">
      <c r="A34" t="s">
        <v>123</v>
      </c>
      <c r="B34" s="27">
        <v>1050000</v>
      </c>
      <c r="C34" t="s">
        <v>625</v>
      </c>
      <c r="D34">
        <f>VLOOKUP(A34,Id_Jugadores!A$2:B$523,2,0)</f>
        <v>233</v>
      </c>
      <c r="E34" s="26">
        <f>_xlfn.MAXIFS(Clausulas!$B$5:$B$46,Clausulas!$D$5:$D$46,Clausulas!$D34)</f>
        <v>1050000</v>
      </c>
      <c r="F34" t="str">
        <f>IF(COUNTIF(Clausulas!$D$5:$D$46,D34)=2,"Si","No")</f>
        <v>No</v>
      </c>
    </row>
    <row r="35" spans="1:6" x14ac:dyDescent="0.25">
      <c r="A35" t="s">
        <v>230</v>
      </c>
      <c r="B35" s="18">
        <v>4401000</v>
      </c>
      <c r="C35" t="s">
        <v>625</v>
      </c>
      <c r="D35">
        <f>VLOOKUP(A35,Id_Jugadores!A$2:B$523,2,0)</f>
        <v>38</v>
      </c>
      <c r="E35" s="26">
        <f>_xlfn.MAXIFS(Clausulas!$B$5:$B$46,Clausulas!$D$5:$D$46,Clausulas!$D35)</f>
        <v>4401000</v>
      </c>
      <c r="F35" t="str">
        <f>IF(COUNTIF(Clausulas!$D$5:$D$46,D35)=2,"Si","No")</f>
        <v>No</v>
      </c>
    </row>
    <row r="36" spans="1:6" x14ac:dyDescent="0.25">
      <c r="A36" s="28" t="s">
        <v>120</v>
      </c>
      <c r="B36" s="26">
        <v>1160000</v>
      </c>
      <c r="C36" t="s">
        <v>626</v>
      </c>
      <c r="D36">
        <f>VLOOKUP(A36,Id_Jugadores!A$2:B$523,2,0)</f>
        <v>235</v>
      </c>
      <c r="E36" s="26">
        <f>_xlfn.MAXIFS(Clausulas!$B$5:$B$46,Clausulas!$D$5:$D$46,Clausulas!$D36)</f>
        <v>1160000</v>
      </c>
      <c r="F36" t="str">
        <f>IF(COUNTIF(Clausulas!$D$5:$D$46,D36)=2,"Si","No")</f>
        <v>No</v>
      </c>
    </row>
    <row r="37" spans="1:6" x14ac:dyDescent="0.25">
      <c r="A37" s="28" t="s">
        <v>122</v>
      </c>
      <c r="B37" s="26">
        <v>190000</v>
      </c>
      <c r="C37" t="s">
        <v>626</v>
      </c>
      <c r="D37">
        <f>VLOOKUP(A37,Id_Jugadores!A$2:B$523,2,0)</f>
        <v>502</v>
      </c>
      <c r="E37" s="26">
        <f>_xlfn.MAXIFS(Clausulas!$B$5:$B$46,Clausulas!$D$5:$D$46,Clausulas!$D37)</f>
        <v>190000</v>
      </c>
      <c r="F37" t="str">
        <f>IF(COUNTIF(Clausulas!$D$5:$D$46,D37)=2,"Si","No")</f>
        <v>No</v>
      </c>
    </row>
    <row r="38" spans="1:6" x14ac:dyDescent="0.25">
      <c r="A38" s="28" t="s">
        <v>124</v>
      </c>
      <c r="B38" s="26">
        <v>2860000</v>
      </c>
      <c r="C38" t="s">
        <v>626</v>
      </c>
      <c r="D38">
        <f>VLOOKUP(A38,Id_Jugadores!A$2:B$523,2,0)</f>
        <v>117</v>
      </c>
      <c r="E38" s="26">
        <f>_xlfn.MAXIFS(Clausulas!$B$5:$B$46,Clausulas!$D$5:$D$46,Clausulas!$D38)</f>
        <v>2860000</v>
      </c>
      <c r="F38" t="str">
        <f>IF(COUNTIF(Clausulas!$D$5:$D$46,D38)=2,"Si","No")</f>
        <v>No</v>
      </c>
    </row>
    <row r="39" spans="1:6" x14ac:dyDescent="0.25">
      <c r="A39" s="28" t="s">
        <v>128</v>
      </c>
      <c r="B39" s="26">
        <v>2000000</v>
      </c>
      <c r="C39" t="s">
        <v>626</v>
      </c>
      <c r="D39">
        <f>VLOOKUP(A39,Id_Jugadores!A$2:B$523,2,0)</f>
        <v>62</v>
      </c>
      <c r="E39" s="26">
        <f>_xlfn.MAXIFS(Clausulas!$B$5:$B$46,Clausulas!$D$5:$D$46,Clausulas!$D39)</f>
        <v>2000000</v>
      </c>
      <c r="F39" t="str">
        <f>IF(COUNTIF(Clausulas!$D$5:$D$46,D39)=2,"Si","No")</f>
        <v>No</v>
      </c>
    </row>
    <row r="40" spans="1:6" x14ac:dyDescent="0.25">
      <c r="A40" s="28" t="s">
        <v>130</v>
      </c>
      <c r="B40" s="26">
        <v>1200000</v>
      </c>
      <c r="C40" t="s">
        <v>626</v>
      </c>
      <c r="D40">
        <f>VLOOKUP(A40,Id_Jugadores!A$2:B$523,2,0)</f>
        <v>236</v>
      </c>
      <c r="E40" s="26">
        <f>_xlfn.MAXIFS(Clausulas!$B$5:$B$46,Clausulas!$D$5:$D$46,Clausulas!$D40)</f>
        <v>1200000</v>
      </c>
      <c r="F40" t="str">
        <f>IF(COUNTIF(Clausulas!$D$5:$D$46,D40)=2,"Si","No")</f>
        <v>No</v>
      </c>
    </row>
    <row r="41" spans="1:6" x14ac:dyDescent="0.25">
      <c r="A41" s="28" t="s">
        <v>132</v>
      </c>
      <c r="B41" s="26">
        <v>4160000</v>
      </c>
      <c r="C41" t="s">
        <v>626</v>
      </c>
      <c r="D41">
        <f>VLOOKUP(A41,Id_Jugadores!A$2:B$523,2,0)</f>
        <v>114</v>
      </c>
      <c r="E41" s="26">
        <f>_xlfn.MAXIFS(Clausulas!$B$5:$B$46,Clausulas!$D$5:$D$46,Clausulas!$D41)</f>
        <v>4160000</v>
      </c>
      <c r="F41" t="str">
        <f>IF(COUNTIF(Clausulas!$D$5:$D$46,D41)=2,"Si","No")</f>
        <v>No</v>
      </c>
    </row>
    <row r="42" spans="1:6" x14ac:dyDescent="0.25">
      <c r="A42" s="28" t="s">
        <v>135</v>
      </c>
      <c r="B42" s="26">
        <v>250000</v>
      </c>
      <c r="C42" t="s">
        <v>626</v>
      </c>
      <c r="D42" t="s">
        <v>627</v>
      </c>
      <c r="E42" s="26">
        <f>_xlfn.MAXIFS(Clausulas!$B$5:$B$46,Clausulas!$D$5:$D$46,Clausulas!$D42)</f>
        <v>250000</v>
      </c>
      <c r="F42" t="str">
        <f>IF(COUNTIF(Clausulas!$D$5:$D$46,D42)=2,"Si","No")</f>
        <v>No</v>
      </c>
    </row>
    <row r="43" spans="1:6" x14ac:dyDescent="0.25">
      <c r="A43" s="28" t="s">
        <v>137</v>
      </c>
      <c r="B43" s="26">
        <v>1560000</v>
      </c>
      <c r="C43" t="s">
        <v>626</v>
      </c>
      <c r="D43">
        <f>VLOOKUP(A43,Id_Jugadores!A$2:B$523,2,0)</f>
        <v>45</v>
      </c>
      <c r="E43" s="26">
        <f>_xlfn.MAXIFS(Clausulas!$B$5:$B$46,Clausulas!$D$5:$D$46,Clausulas!$D43)</f>
        <v>6500000</v>
      </c>
      <c r="F43" t="str">
        <f>IF(COUNTIF(Clausulas!$D$5:$D$46,D43)=2,"Si","No")</f>
        <v>Si</v>
      </c>
    </row>
    <row r="44" spans="1:6" x14ac:dyDescent="0.25">
      <c r="A44" t="s">
        <v>139</v>
      </c>
      <c r="B44" s="26">
        <v>3840000</v>
      </c>
      <c r="C44" t="s">
        <v>626</v>
      </c>
      <c r="D44">
        <f>VLOOKUP(A44,Id_Jugadores!A$2:B$523,2,0)</f>
        <v>144</v>
      </c>
      <c r="E44" s="26">
        <f>_xlfn.MAXIFS(Clausulas!$B$5:$B$46,Clausulas!$D$5:$D$46,Clausulas!$D44)</f>
        <v>3840000</v>
      </c>
      <c r="F44" t="str">
        <f>IF(COUNTIF(Clausulas!$D$5:$D$46,D44)=2,"Si","No")</f>
        <v>No</v>
      </c>
    </row>
    <row r="45" spans="1:6" x14ac:dyDescent="0.25">
      <c r="A45" s="28" t="s">
        <v>141</v>
      </c>
      <c r="B45" s="26">
        <v>400000</v>
      </c>
      <c r="C45" t="s">
        <v>626</v>
      </c>
      <c r="D45">
        <f>VLOOKUP(A45,Id_Jugadores!A$2:B$523,2,0)</f>
        <v>463</v>
      </c>
      <c r="E45" s="26">
        <f>_xlfn.MAXIFS(Clausulas!$B$5:$B$46,Clausulas!$D$5:$D$46,Clausulas!$D45)</f>
        <v>400000</v>
      </c>
      <c r="F45" t="str">
        <f>IF(COUNTIF(Clausulas!$D$5:$D$46,D45)=2,"Si","No")</f>
        <v>No</v>
      </c>
    </row>
    <row r="46" spans="1:6" x14ac:dyDescent="0.25">
      <c r="A46" s="28" t="s">
        <v>143</v>
      </c>
      <c r="B46" s="26">
        <v>2160000</v>
      </c>
      <c r="C46" t="s">
        <v>626</v>
      </c>
      <c r="D46">
        <f>VLOOKUP(A46,Id_Jugadores!A$2:B$523,2,0)</f>
        <v>269</v>
      </c>
      <c r="E46" s="26">
        <f>_xlfn.MAXIFS(Clausulas!$B$5:$B$46,Clausulas!$D$5:$D$46,Clausulas!$D46)</f>
        <v>2160000</v>
      </c>
      <c r="F46" t="str">
        <f>IF(COUNTIF(Clausulas!$D$5:$D$46,D46)=2,"Si","No")</f>
        <v>No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Automate</vt:lpstr>
      <vt:lpstr>Guacamayos</vt:lpstr>
      <vt:lpstr>Cachoneros Mantilla Bésalo</vt:lpstr>
      <vt:lpstr>Llaule</vt:lpstr>
      <vt:lpstr>Steaua de grifo</vt:lpstr>
      <vt:lpstr>Mompia FC</vt:lpstr>
      <vt:lpstr>La Piñera</vt:lpstr>
      <vt:lpstr>Costa norte</vt:lpstr>
      <vt:lpstr>Lábaro FC</vt:lpstr>
      <vt:lpstr>Cacafuti</vt:lpstr>
      <vt:lpstr>Luis Padrique</vt:lpstr>
      <vt:lpstr>Real Garrucho</vt:lpstr>
      <vt:lpstr>Tuma Tuma Nin</vt:lpstr>
      <vt:lpstr>Id_Jugadores</vt:lpstr>
      <vt:lpstr>Clausulas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AGÜERO ENCINAS, JULIO</cp:lastModifiedBy>
  <cp:revision>2</cp:revision>
  <dcterms:created xsi:type="dcterms:W3CDTF">2025-08-22T12:41:32Z</dcterms:created>
  <dcterms:modified xsi:type="dcterms:W3CDTF">2025-10-08T14:21:13Z</dcterms:modified>
</cp:coreProperties>
</file>