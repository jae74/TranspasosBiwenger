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3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3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995" firstSheet="1" activeTab="2" autoFilterDateGrouping="1"/>
  </bookViews>
  <sheets>
    <sheet xmlns:r="http://schemas.openxmlformats.org/officeDocument/2006/relationships" name="Automate" sheetId="1" state="visible" r:id="rId1"/>
    <sheet xmlns:r="http://schemas.openxmlformats.org/officeDocument/2006/relationships" name="Guacamayos" sheetId="2" state="visible" r:id="rId2"/>
    <sheet xmlns:r="http://schemas.openxmlformats.org/officeDocument/2006/relationships" name="Cachoneros Mantilla Bésalo" sheetId="3" state="visible" r:id="rId3"/>
    <sheet xmlns:r="http://schemas.openxmlformats.org/officeDocument/2006/relationships" name="Llaule" sheetId="4" state="visible" r:id="rId4"/>
    <sheet xmlns:r="http://schemas.openxmlformats.org/officeDocument/2006/relationships" name="Steaua de grifo" sheetId="5" state="visible" r:id="rId5"/>
    <sheet xmlns:r="http://schemas.openxmlformats.org/officeDocument/2006/relationships" name="Mompia FC" sheetId="6" state="visible" r:id="rId6"/>
    <sheet xmlns:r="http://schemas.openxmlformats.org/officeDocument/2006/relationships" name="La Piñera" sheetId="7" state="visible" r:id="rId7"/>
    <sheet xmlns:r="http://schemas.openxmlformats.org/officeDocument/2006/relationships" name="Costa norte" sheetId="8" state="visible" r:id="rId8"/>
    <sheet xmlns:r="http://schemas.openxmlformats.org/officeDocument/2006/relationships" name="Lábaro FC" sheetId="9" state="visible" r:id="rId9"/>
    <sheet xmlns:r="http://schemas.openxmlformats.org/officeDocument/2006/relationships" name="Cacafuti" sheetId="10" state="visible" r:id="rId10"/>
    <sheet xmlns:r="http://schemas.openxmlformats.org/officeDocument/2006/relationships" name="Luis Padrique" sheetId="11" state="visible" r:id="rId11"/>
    <sheet xmlns:r="http://schemas.openxmlformats.org/officeDocument/2006/relationships" name="Real Garrucho" sheetId="12" state="visible" r:id="rId12"/>
    <sheet xmlns:r="http://schemas.openxmlformats.org/officeDocument/2006/relationships" name="Tuma Tuma Nin" sheetId="13" state="visible" r:id="rId13"/>
    <sheet xmlns:r="http://schemas.openxmlformats.org/officeDocument/2006/relationships" name="Id_Jugadores" sheetId="14" state="hidden" r:id="rId14"/>
    <sheet xmlns:r="http://schemas.openxmlformats.org/officeDocument/2006/relationships" name="Clausulas" sheetId="15" state="hidden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Liberation Sans"/>
      <family val="2"/>
      <color rgb="FF000000"/>
      <sz val="10"/>
    </font>
    <font>
      <name val="Liberation Sans"/>
      <family val="2"/>
      <color rgb="FF000000"/>
      <sz val="10"/>
    </font>
    <font>
      <name val="Liberation Sans"/>
      <family val="2"/>
      <b val="1"/>
      <color rgb="FF000000"/>
      <sz val="10"/>
    </font>
    <font>
      <name val="Liberation Sans"/>
      <family val="2"/>
      <b val="1"/>
      <color rgb="FFFFFFFF"/>
      <sz val="10"/>
    </font>
    <font>
      <name val="Liberation Sans"/>
      <family val="2"/>
      <color rgb="FFCC0000"/>
      <sz val="10"/>
    </font>
    <font>
      <name val="Aptos Narrow"/>
      <family val="2"/>
      <color rgb="FF000000"/>
      <sz val="11"/>
    </font>
    <font>
      <name val="Liberation Sans"/>
      <family val="2"/>
      <i val="1"/>
      <color rgb="FF808080"/>
      <sz val="10"/>
    </font>
    <font>
      <name val="Liberation Sans"/>
      <family val="2"/>
      <color rgb="FF006600"/>
      <sz val="10"/>
    </font>
    <font>
      <name val="Liberation Sans"/>
      <family val="2"/>
      <b val="1"/>
      <color rgb="FF000000"/>
      <sz val="24"/>
    </font>
    <font>
      <name val="Liberation Sans"/>
      <family val="2"/>
      <b val="1"/>
      <color rgb="FF000000"/>
      <sz val="18"/>
    </font>
    <font>
      <name val="Liberation Sans"/>
      <family val="2"/>
      <b val="1"/>
      <color rgb="FF000000"/>
      <sz val="12"/>
    </font>
    <font>
      <name val="Liberation Sans"/>
      <family val="2"/>
      <color rgb="FF0000EE"/>
      <sz val="10"/>
      <u val="single"/>
    </font>
    <font>
      <name val="Liberation Sans"/>
      <family val="2"/>
      <color rgb="FF333333"/>
      <sz val="10"/>
    </font>
    <font>
      <name val="Liberation Sans"/>
      <family val="2"/>
      <b val="1"/>
      <i val="1"/>
      <color rgb="FF000000"/>
      <sz val="10"/>
      <u val="single"/>
    </font>
    <font>
      <name val="Liberation Sans"/>
      <family val="2"/>
      <i val="1"/>
      <color rgb="FF000000"/>
      <sz val="12"/>
    </font>
    <font>
      <name val="Liberation Serif"/>
      <family val="1"/>
      <b val="1"/>
      <color rgb="FF000000"/>
      <sz val="10"/>
    </font>
    <font>
      <name val="Liberation Serif"/>
      <family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9">
    <xf numFmtId="0" fontId="1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29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3" fontId="0" fillId="0" borderId="0" pivotButton="0" quotePrefix="0" xfId="0"/>
    <xf numFmtId="14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applyAlignment="1" pivotButton="0" quotePrefix="0" xfId="0">
      <alignment wrapText="1"/>
    </xf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 wrapText="1"/>
    </xf>
    <xf numFmtId="0" fontId="2" fillId="0" borderId="0" pivotButton="0" quotePrefix="0" xfId="0"/>
    <xf numFmtId="3" fontId="0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3" fontId="16" fillId="9" borderId="2" applyAlignment="1" pivotButton="0" quotePrefix="0" xfId="0">
      <alignment horizontal="center" wrapText="1"/>
    </xf>
    <xf numFmtId="3" fontId="2" fillId="9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3" fontId="2" fillId="0" borderId="0" applyAlignment="1" pivotButton="0" quotePrefix="0" xfId="0">
      <alignment wrapText="1"/>
    </xf>
    <xf numFmtId="3" fontId="2" fillId="0" borderId="0" pivotButton="0" quotePrefix="0" xfId="0"/>
    <xf numFmtId="3" fontId="16" fillId="0" borderId="0" applyAlignment="1" pivotButton="0" quotePrefix="0" xfId="0">
      <alignment wrapText="1"/>
    </xf>
  </cellXfs>
  <cellStyles count="19">
    <cellStyle name="Normal" xfId="0" builtinId="0"/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ote" xfId="14"/>
    <cellStyle name="Result" xfId="15"/>
    <cellStyle name="Status" xfId="16"/>
    <cellStyle name="Text" xfId="17"/>
    <cellStyle name="Warning" xfId="18"/>
  </cellStyles>
  <dxfs count="1"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abla1610" displayName="Tabla1610" ref="C1:D14" headerRowCount="1" totalsRowShown="0">
  <autoFilter ref="C1:D14"/>
  <tableColumns count="2">
    <tableColumn id="1" name="Altas"/>
    <tableColumn id="2" name="Gast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2711" displayName="Tabla2711" ref="E1:F18" headerRowCount="1" totalsRowShown="0">
  <autoFilter ref="E1:F18"/>
  <tableColumns count="2">
    <tableColumn id="1" name="Bajas"/>
    <tableColumn id="2" name="Ingresad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BJRGuaca" displayName="BJRGuaca" ref="I1:I7" headerRowCount="1" totalsRowShown="0">
  <autoFilter ref="I1:I7"/>
  <tableColumns count="1">
    <tableColumn id="1" name="Beneficio J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a1" displayName="Tabla1" ref="C1:D14" headerRowCount="1" totalsRowShown="0">
  <autoFilter ref="C1:D14"/>
  <tableColumns count="2">
    <tableColumn id="1" name="Altas"/>
    <tableColumn id="2" name="Gastad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a271112" displayName="Tabla271112" ref="E1:F17" headerRowCount="1" totalsRowShown="0">
  <autoFilter ref="E1:F17"/>
  <tableColumns count="2">
    <tableColumn id="1" name="Bajas"/>
    <tableColumn id="2" name="Ingresado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BJManu" displayName="BJManu" ref="I1:I7" headerRowCount="1" totalsRowShown="0">
  <autoFilter ref="I1:I7"/>
  <tableColumns count="1">
    <tableColumn id="1" name="Beneficio J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Ventas" displayName="Ventas" ref="C1:D27" headerRowCount="1" totalsRowShown="0">
  <autoFilter ref="C1:D27"/>
  <tableColumns count="2">
    <tableColumn id="1" name="Bajas"/>
    <tableColumn id="2" name="Ingreso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Compras" displayName="Compras" ref="A1:B32" headerRowCount="1" totalsRowShown="0">
  <autoFilter ref="A1:B32"/>
  <tableColumns count="2">
    <tableColumn id="1" name="Altas"/>
    <tableColumn id="2" name="Pérdida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BJLlaule" displayName="BJLlaule" ref="G1:G43" headerRowCount="1" totalsRowShown="0">
  <autoFilter ref="G1:G43"/>
  <tableColumns count="1">
    <tableColumn id="1" name="Beneficio J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a11520" displayName="Tabla11520" ref="C1:D17" headerRowCount="1" totalsRowShown="0">
  <autoFilter ref="C1:D17"/>
  <tableColumns count="2">
    <tableColumn id="1" name="Altas"/>
    <tableColumn id="2" name="Gastado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a2711121621" displayName="Tabla2711121621" ref="E1:F18" headerRowCount="1" totalsRowShown="0">
  <autoFilter ref="E1:F18"/>
  <tableColumns count="2">
    <tableColumn id="1" name="Bajas"/>
    <tableColumn id="2" name="Ingresado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BJBerto" displayName="BJBerto" ref="I1:I7" headerRowCount="1" totalsRowShown="0">
  <autoFilter ref="I1:I7"/>
  <tableColumns count="1">
    <tableColumn id="1" name="Beneficio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abla1152017" displayName="Tabla1152017" ref="C1:D22" headerRowCount="1" totalsRowShown="0">
  <autoFilter ref="C1:D22"/>
  <tableColumns count="2">
    <tableColumn id="1" name="Altas"/>
    <tableColumn id="2" name="Gastado" dataDxfId="0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abla271112162118" displayName="Tabla271112162118" ref="E1:F27" headerRowCount="1" totalsRowShown="0">
  <autoFilter ref="E1:F27"/>
  <tableColumns count="2">
    <tableColumn id="1" name="Bajas"/>
    <tableColumn id="2" name="Ingresado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BJMompia" displayName="BJMompia" ref="I1:I7" headerRowCount="1" totalsRowShown="0">
  <autoFilter ref="I1:I7"/>
  <tableColumns count="1">
    <tableColumn id="1" name="Beneficio J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abla1152019" displayName="Tabla1152019" ref="C1:D19" headerRowCount="1" totalsRowShown="0">
  <autoFilter ref="C1:D19"/>
  <tableColumns count="2">
    <tableColumn id="1" name="Altas"/>
    <tableColumn id="2" name="Gastado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abla271112162120" displayName="Tabla271112162120" ref="E1:F22" headerRowCount="1" totalsRowShown="0">
  <autoFilter ref="E1:F22"/>
  <tableColumns count="2">
    <tableColumn id="1" name="Bajas"/>
    <tableColumn id="2" name="Ingresado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BJRMarco" displayName="BJRMarco" ref="I1:I7" headerRowCount="1" totalsRowShown="0">
  <autoFilter ref="I1:I7"/>
  <tableColumns count="1">
    <tableColumn id="1" name="Beneficio J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abla11831" displayName="Tabla11831" ref="C1:D10" headerRowCount="1" totalsRowShown="0">
  <autoFilter ref="C1:D10"/>
  <tableColumns count="2">
    <tableColumn id="1" name="Altas"/>
    <tableColumn id="2" name="Gastado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abla2711121932" displayName="Tabla2711121932" ref="E1:F14" headerRowCount="1" totalsRowShown="0">
  <autoFilter ref="E1:F14"/>
  <tableColumns count="2">
    <tableColumn id="1" name="Bajas"/>
    <tableColumn id="2" name="Ingresado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BJLabaro33" displayName="BJLabaro33" ref="I1:I5" headerRowCount="1" totalsRowShown="0">
  <autoFilter ref="I1:I5"/>
  <tableColumns count="1">
    <tableColumn id="1" name="Beneficio J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abla118" displayName="Tabla118" ref="C1:D2" headerRowCount="1" totalsRowShown="0">
  <autoFilter ref="C1:D2"/>
  <tableColumns count="2">
    <tableColumn id="1" name="Altas"/>
    <tableColumn id="2" name="Gastado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abla27111219" displayName="Tabla27111219" ref="E1:F2" headerRowCount="1" totalsRowShown="0">
  <autoFilter ref="E1:F2"/>
  <tableColumns count="2">
    <tableColumn id="1" name="Bajas"/>
    <tableColumn id="2" name="Ingresado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BJLabaro" displayName="BJLabaro" ref="I1:I7" headerRowCount="1" totalsRowShown="0">
  <autoFilter ref="I1:I7"/>
  <tableColumns count="1">
    <tableColumn id="1" name="Beneficio J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abla1183437" displayName="Tabla1183437" ref="C1:D11" headerRowCount="1" totalsRowShown="0">
  <autoFilter ref="C1:D11"/>
  <tableColumns count="2">
    <tableColumn id="1" name="Altas"/>
    <tableColumn id="2" name="Gastado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abla271112193538" displayName="Tabla271112193538" ref="E1:F10" headerRowCount="1" totalsRowShown="0">
  <autoFilter ref="E1:F10"/>
  <tableColumns count="2">
    <tableColumn id="1" name="Bajas"/>
    <tableColumn id="2" name="Ingresado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BJCacafuti" displayName="BJCacafuti" ref="I1:I7" headerRowCount="1" totalsRowShown="0">
  <autoFilter ref="I1:I7"/>
  <tableColumns count="1">
    <tableColumn id="1" name="Beneficio J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abla11834" displayName="Tabla11834" ref="C1:D14" headerRowCount="1" totalsRowShown="0">
  <autoFilter ref="C1:D14"/>
  <tableColumns count="2">
    <tableColumn id="1" name="Altas"/>
    <tableColumn id="2" name="Gastado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abla2711121935" displayName="Tabla2711121935" ref="E1:F20" headerRowCount="1" totalsRowShown="0">
  <autoFilter ref="E1:F20"/>
  <tableColumns count="2">
    <tableColumn id="1" name="Bajas"/>
    <tableColumn id="2" name="Ingresado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BJLabaro36" displayName="BJLabaro36" ref="I1:I7" headerRowCount="1" totalsRowShown="0">
  <autoFilter ref="I1:I7"/>
  <tableColumns count="1">
    <tableColumn id="1" name="Beneficio J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abla115" displayName="Tabla115" ref="C1:D22" headerRowCount="1" totalsRowShown="0">
  <autoFilter ref="C1:D22"/>
  <tableColumns count="2">
    <tableColumn id="1" name="Altas"/>
    <tableColumn id="2" name="Gastado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abla27111216" displayName="Tabla27111216" ref="E1:F26" headerRowCount="1" totalsRowShown="0">
  <autoFilter ref="E1:F26"/>
  <tableColumns count="2">
    <tableColumn id="1" name="Bajas"/>
    <tableColumn id="2" name="Ingresado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abla17" displayName="Tabla17" ref="A1:B16" headerRowCount="1" totalsRowShown="0">
  <autoFilter ref="A1:B16"/>
  <tableColumns count="2">
    <tableColumn id="1" name="Jugadores"/>
    <tableColumn id="2" name="Valor dia 0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BJSamuel" displayName="BJSamuel" ref="I1:I43" headerRowCount="1" totalsRowShown="0">
  <autoFilter ref="I1:I43"/>
  <tableColumns count="1">
    <tableColumn id="1" name="Beneficio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abla161013" displayName="Tabla161013" ref="C1:D2" headerRowCount="1" totalsRowShown="0">
  <autoFilter ref="C1:D2"/>
  <tableColumns count="2">
    <tableColumn id="1" name="Altas"/>
    <tableColumn id="2" name="Gastado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abla271114" displayName="Tabla271114" ref="E1:F2" headerRowCount="1" totalsRowShown="0">
  <autoFilter ref="E1:F2"/>
  <tableColumns count="2">
    <tableColumn id="1" name="Bajas"/>
    <tableColumn id="2" name="Ingresado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BJRuben" displayName="BJRuben" ref="I1:I7" headerRowCount="1" totalsRowShown="0">
  <autoFilter ref="I1:I7"/>
  <tableColumns count="1">
    <tableColumn id="1" name="Beneficio J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ablaClausulas" displayName="TablaClausulas" ref="A4:F46" headerRowCount="1" totalsRowShown="0">
  <autoFilter ref="A4:F46"/>
  <tableColumns count="6">
    <tableColumn id="1" name="Fichajes"/>
    <tableColumn id="2" name="Clausula"/>
    <tableColumn id="3" name="Usuario"/>
    <tableColumn id="4" name="ID"/>
    <tableColumn id="5" name="Clausula Final"/>
    <tableColumn id="6" name="Repetido?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biwenger.as.com/segunda-division/players/lander-olaetxea" TargetMode="Externa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Relationship Type="http://schemas.openxmlformats.org/officeDocument/2006/relationships/table" Target="/xl/tables/table18.xm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biwenger.as.com/segunda-division/players/pedro-lopez-3" TargetMode="External" Id="rId1"/><Relationship Type="http://schemas.openxmlformats.org/officeDocument/2006/relationships/hyperlink" Target="https://biwenger.as.com/segunda-division/players/jose-antonio-caro" TargetMode="External" Id="rId2"/><Relationship Type="http://schemas.openxmlformats.org/officeDocument/2006/relationships/hyperlink" Target="https://biwenger.as.com/segunda-division/players/fran-gamez" TargetMode="External" Id="rId3"/><Relationship Type="http://schemas.openxmlformats.org/officeDocument/2006/relationships/hyperlink" Target="https://biwenger.as.com/segunda-division/players/i-garcia-de-albeniz" TargetMode="External" Id="rId4"/><Relationship Type="http://schemas.openxmlformats.org/officeDocument/2006/relationships/hyperlink" Target="https://biwenger.as.com/segunda-division/players/thomas-carrique" TargetMode="External" Id="rId5"/><Relationship Type="http://schemas.openxmlformats.org/officeDocument/2006/relationships/hyperlink" Target="https://biwenger.as.com/segunda-division/players/diego-gonzalez-2" TargetMode="External" Id="rId6"/><Relationship Type="http://schemas.openxmlformats.org/officeDocument/2006/relationships/hyperlink" Target="https://biwenger.as.com/segunda-division/players/jokin-gabilondo" TargetMode="External" Id="rId7"/><Relationship Type="http://schemas.openxmlformats.org/officeDocument/2006/relationships/hyperlink" Target="https://biwenger.as.com/segunda-division/players/agus-medina" TargetMode="External" Id="rId8"/><Relationship Type="http://schemas.openxmlformats.org/officeDocument/2006/relationships/hyperlink" Target="https://biwenger.as.com/segunda-division/players/javi-martinez" TargetMode="External" Id="rId9"/><Relationship Type="http://schemas.openxmlformats.org/officeDocument/2006/relationships/hyperlink" Target="https://biwenger.as.com/segunda-division/players/i-vilarrasa" TargetMode="External" Id="rId10"/><Relationship Type="http://schemas.openxmlformats.org/officeDocument/2006/relationships/hyperlink" Target="https://biwenger.as.com/segunda-division/players/jose-angel-jurado" TargetMode="External" Id="rId11"/><Relationship Type="http://schemas.openxmlformats.org/officeDocument/2006/relationships/hyperlink" Target="https://biwenger.as.com/segunda-division/players/ronaldo" TargetMode="External" Id="rId12"/><Relationship Type="http://schemas.openxmlformats.org/officeDocument/2006/relationships/hyperlink" Target="https://biwenger.as.com/segunda-division/players/brian-ocampo" TargetMode="External" Id="rId13"/><Relationship Type="http://schemas.openxmlformats.org/officeDocument/2006/relationships/hyperlink" Target="https://biwenger.as.com/segunda-division/players/souleymane-faye" TargetMode="External" Id="rId14"/><Relationship Type="http://schemas.openxmlformats.org/officeDocument/2006/relationships/hyperlink" Target="https://biwenger.as.com/segunda-division/players/shon-weissman" TargetMode="External" Id="rId15"/><Relationship Type="http://schemas.openxmlformats.org/officeDocument/2006/relationships/table" Target="/xl/tables/table19.xml" Id="rId16"/><Relationship Type="http://schemas.openxmlformats.org/officeDocument/2006/relationships/table" Target="/xl/tables/table20.xml" Id="rId17"/><Relationship Type="http://schemas.openxmlformats.org/officeDocument/2006/relationships/table" Target="/xl/tables/table21.xml" Id="rId18"/></Relationships>
</file>

<file path=xl/worksheets/_rels/sheet9.xml.rels><Relationships xmlns="http://schemas.openxmlformats.org/package/2006/relationships"><Relationship Type="http://schemas.openxmlformats.org/officeDocument/2006/relationships/table" Target="/xl/tables/table22.xml" Id="rId1"/><Relationship Type="http://schemas.openxmlformats.org/officeDocument/2006/relationships/table" Target="/xl/tables/table23.xml" Id="rId2"/><Relationship Type="http://schemas.openxmlformats.org/officeDocument/2006/relationships/table" Target="/xl/tables/table24.xm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biwenger.as.com/segunda-division/players/j-magunagoitia" TargetMode="External" Id="rId1"/><Relationship Type="http://schemas.openxmlformats.org/officeDocument/2006/relationships/hyperlink" Target="https://biwenger.as.com/segunda-division/players/egoitz-arana" TargetMode="External" Id="rId2"/><Relationship Type="http://schemas.openxmlformats.org/officeDocument/2006/relationships/hyperlink" Target="https://biwenger.as.com/segunda-division/players/carlos-puga" TargetMode="External" Id="rId3"/><Relationship Type="http://schemas.openxmlformats.org/officeDocument/2006/relationships/hyperlink" Target="https://biwenger.as.com/segunda-division/players/sergio-barcia" TargetMode="External" Id="rId4"/><Relationship Type="http://schemas.openxmlformats.org/officeDocument/2006/relationships/hyperlink" Target="https://biwenger.as.com/segunda-division/players/hodei-arrillaga" TargetMode="External" Id="rId5"/><Relationship Type="http://schemas.openxmlformats.org/officeDocument/2006/relationships/hyperlink" Target="https://biwenger.as.com/segunda-division/players/pablo-garcia" TargetMode="External" Id="rId6"/><Relationship Type="http://schemas.openxmlformats.org/officeDocument/2006/relationships/hyperlink" Target="https://biwenger.as.com/segunda-division/players/tincho-conde" TargetMode="External" Id="rId7"/><Relationship Type="http://schemas.openxmlformats.org/officeDocument/2006/relationships/hyperlink" Target="https://biwenger.as.com/segunda-division/players/isma-ruiz" TargetMode="External" Id="rId8"/><Relationship Type="http://schemas.openxmlformats.org/officeDocument/2006/relationships/hyperlink" Target="https://biwenger.as.com/segunda-division/players/peru-nolaskoain" TargetMode="External" Id="rId9"/><Relationship Type="http://schemas.openxmlformats.org/officeDocument/2006/relationships/hyperlink" Target="https://biwenger.as.com/segunda-division/players/manu-trigueros" TargetMode="External" Id="rId10"/><Relationship Type="http://schemas.openxmlformats.org/officeDocument/2006/relationships/hyperlink" Target="https://biwenger.as.com/segunda-division/players/nico-toca" TargetMode="External" Id="rId11"/><Relationship Type="http://schemas.openxmlformats.org/officeDocument/2006/relationships/hyperlink" Target="https://biwenger.as.com/segunda-division/players/j-gonzalez-2" TargetMode="External" Id="rId12"/><Relationship Type="http://schemas.openxmlformats.org/officeDocument/2006/relationships/hyperlink" Target="https://biwenger.as.com/segunda-division/players/samed-bazdar" TargetMode="External" Id="rId13"/><Relationship Type="http://schemas.openxmlformats.org/officeDocument/2006/relationships/hyperlink" Target="https://biwenger.as.com/segunda-division/players/j-de-la-rosa" TargetMode="External" Id="rId14"/><Relationship Type="http://schemas.openxmlformats.org/officeDocument/2006/relationships/hyperlink" Target="https://biwenger.as.com/segunda-division/players/mamadou-traore" TargetMode="External" Id="rId15"/><Relationship Type="http://schemas.openxmlformats.org/officeDocument/2006/relationships/table" Target="/xl/tables/table25.xml" Id="rId16"/><Relationship Type="http://schemas.openxmlformats.org/officeDocument/2006/relationships/table" Target="/xl/tables/table26.xml" Id="rId17"/><Relationship Type="http://schemas.openxmlformats.org/officeDocument/2006/relationships/table" Target="/xl/tables/table27.xml" Id="rId18"/></Relationships>
</file>

<file path=xl/worksheets/_rels/sheet11.xml.rels><Relationships xmlns="http://schemas.openxmlformats.org/package/2006/relationships"><Relationship Type="http://schemas.openxmlformats.org/officeDocument/2006/relationships/hyperlink" Target="https://biwenger.as.com/segunda-division/players/victor-aznar" TargetMode="External" Id="rId1"/><Relationship Type="http://schemas.openxmlformats.org/officeDocument/2006/relationships/hyperlink" Target="https://biwenger.as.com/segunda-division/players/fernando" TargetMode="External" Id="rId2"/><Relationship Type="http://schemas.openxmlformats.org/officeDocument/2006/relationships/hyperlink" Target="https://biwenger.as.com/segunda-division/players/julio-alonso" TargetMode="External" Id="rId3"/><Relationship Type="http://schemas.openxmlformats.org/officeDocument/2006/relationships/hyperlink" Target="https://biwenger.as.com/segunda-division/players/ivan-garriel" TargetMode="External" Id="rId4"/><Relationship Type="http://schemas.openxmlformats.org/officeDocument/2006/relationships/hyperlink" Target="https://biwenger.as.com/segunda-division/players/inaki-ruperez" TargetMode="External" Id="rId5"/><Relationship Type="http://schemas.openxmlformats.org/officeDocument/2006/relationships/hyperlink" Target="https://biwenger.as.com/segunda-division/players/einar-galilea" TargetMode="External" Id="rId6"/><Relationship Type="http://schemas.openxmlformats.org/officeDocument/2006/relationships/hyperlink" Target="https://biwenger.as.com/segunda-division/players/brais-martinez" TargetMode="External" Id="rId7"/><Relationship Type="http://schemas.openxmlformats.org/officeDocument/2006/relationships/hyperlink" Target="https://biwenger.as.com/segunda-division/players/ivan-alejo" TargetMode="External" Id="rId8"/><Relationship Type="http://schemas.openxmlformats.org/officeDocument/2006/relationships/hyperlink" Target="https://biwenger.as.com/segunda-division/players/jon-magunacelaya" TargetMode="External" Id="rId9"/><Relationship Type="http://schemas.openxmlformats.org/officeDocument/2006/relationships/hyperlink" Target="https://biwenger.as.com/segunda-division/players/k-rodriguez" TargetMode="External" Id="rId10"/><Relationship Type="http://schemas.openxmlformats.org/officeDocument/2006/relationships/hyperlink" Target="https://biwenger.as.com/segunda-division/players/g-escalante" TargetMode="External" Id="rId11"/><Relationship Type="http://schemas.openxmlformats.org/officeDocument/2006/relationships/hyperlink" Target="https://biwenger.as.com/segunda-division/players/ramon-enriquez" TargetMode="External" Id="rId12"/><Relationship Type="http://schemas.openxmlformats.org/officeDocument/2006/relationships/hyperlink" Target="https://biwenger.as.com/segunda-division/players/dani-escriche" TargetMode="External" Id="rId13"/><Relationship Type="http://schemas.openxmlformats.org/officeDocument/2006/relationships/hyperlink" Target="https://biwenger.as.com/segunda-division/players/gaspar-campos" TargetMode="External" Id="rId14"/><Relationship Type="http://schemas.openxmlformats.org/officeDocument/2006/relationships/hyperlink" Target="https://biwenger.as.com/segunda-division/players/manu-justo" TargetMode="External" Id="rId15"/><Relationship Type="http://schemas.openxmlformats.org/officeDocument/2006/relationships/table" Target="/xl/tables/table28.xml" Id="rId16"/><Relationship Type="http://schemas.openxmlformats.org/officeDocument/2006/relationships/table" Target="/xl/tables/table29.xml" Id="rId17"/><Relationship Type="http://schemas.openxmlformats.org/officeDocument/2006/relationships/table" Target="/xl/tables/table30.xml" Id="rId18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Relationship Type="http://schemas.openxmlformats.org/officeDocument/2006/relationships/table" Target="/xl/tables/table33.xml" Id="rId3"/><Relationship Type="http://schemas.openxmlformats.org/officeDocument/2006/relationships/table" Target="/xl/tables/table34.xml" Id="rId4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table" Target="/xl/tables/table36.xml" Id="rId2"/><Relationship Type="http://schemas.openxmlformats.org/officeDocument/2006/relationships/table" Target="/xl/tables/table37.xml" Id="rId3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C7" sqref="C7"/>
    </sheetView>
  </sheetViews>
  <sheetFormatPr baseColWidth="10" defaultRowHeight="12.5"/>
  <cols>
    <col width="40.90625" bestFit="1" customWidth="1" min="1" max="1"/>
    <col width="10.7265625" bestFit="1" customWidth="1" min="2" max="2"/>
    <col width="10.90625" customWidth="1" style="1" min="3" max="3"/>
    <col width="9.90625" bestFit="1" customWidth="1" min="4" max="4"/>
    <col width="10.90625" customWidth="1" min="5" max="5"/>
  </cols>
  <sheetData>
    <row r="1">
      <c r="A1" t="inlineStr">
        <is>
          <t>Unax Agote: Cambia por 800.000 € a Costa norte</t>
        </is>
      </c>
      <c r="B1">
        <f>MID(A1,FIND(" a ",A1)+2,LEN(A1)-FIND("a",A1)-1)</f>
        <v/>
      </c>
      <c r="C1" s="1">
        <f>MID(A1,FIND("por ",A1)+4,FIND("€",A1)-FIND("por ",A1)-4-1)</f>
        <v/>
      </c>
      <c r="D1">
        <f>MID(A1,1,FIND(": ",A1)-1)</f>
        <v/>
      </c>
      <c r="G1" s="1" t="n"/>
    </row>
    <row r="2">
      <c r="A2" t="inlineStr">
        <is>
          <t>Yayo: Cambia por 743.400 € a Llaule</t>
        </is>
      </c>
      <c r="B2">
        <f>MID(A2,FIND(" a ",A2)+2,LEN(A2)-FIND("a",A2)-1)</f>
        <v/>
      </c>
      <c r="C2" s="1">
        <f>MID(A2,FIND("por ",A2)+4,FIND("€",A2)-FIND("por ",A2)-4-1)</f>
        <v/>
      </c>
      <c r="D2">
        <f>MID(A2,1,FIND(": ",A2)-1)</f>
        <v/>
      </c>
    </row>
    <row r="3">
      <c r="A3" t="inlineStr">
        <is>
          <t>Marvel: Cambia por 2.260.000 € a Llaule</t>
        </is>
      </c>
      <c r="B3">
        <f>MID(A3,FIND(" a ",A3)+2,LEN(A3)-FIND("a",A3)-1)</f>
        <v/>
      </c>
      <c r="C3" s="1">
        <f>MID(A3,FIND("por ",A3)+4,FIND("€",A3)-FIND("por ",A3)-4-1)</f>
        <v/>
      </c>
      <c r="D3">
        <f>MID(A3,1,FIND(": ",A3)-1)</f>
        <v/>
      </c>
    </row>
  </sheetData>
  <pageMargins left="0.7000000000000001" right="0.7000000000000001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H24" sqref="H24"/>
    </sheetView>
  </sheetViews>
  <sheetFormatPr baseColWidth="10" defaultRowHeight="12.5"/>
  <cols>
    <col hidden="1" width="17" customWidth="1" min="1" max="1"/>
    <col hidden="1" width="10.90625" customWidth="1" min="2" max="2"/>
    <col width="12.81640625" bestFit="1" customWidth="1" min="3" max="3"/>
    <col width="14.453125" customWidth="1" style="3" min="4" max="4"/>
    <col width="15.90625" bestFit="1" customWidth="1" min="5" max="5"/>
    <col width="12.1796875" bestFit="1" customWidth="1" style="3" min="6" max="6"/>
    <col width="14" bestFit="1" customWidth="1" min="7" max="7"/>
    <col width="21.81640625" bestFit="1" customWidth="1" min="8" max="8"/>
    <col width="14.1796875" bestFit="1" customWidth="1" style="4" min="9" max="9"/>
    <col width="2.54296875" bestFit="1" customWidth="1" min="10" max="10"/>
    <col width="18.36328125" bestFit="1" customWidth="1" min="11" max="11"/>
    <col width="10.90625" customWidth="1" min="12" max="12"/>
  </cols>
  <sheetData>
    <row r="1" customFormat="1" s="2">
      <c r="A1" s="2" t="inlineStr">
        <is>
          <t>Jugadores Iniciales</t>
        </is>
      </c>
      <c r="B1" s="2" t="inlineStr">
        <is>
          <t>Valor dia 0</t>
        </is>
      </c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s="2" t="inlineStr">
        <is>
          <t>Valor Plantilla Actual</t>
        </is>
      </c>
      <c r="I1" s="4" t="inlineStr">
        <is>
          <t>Beneficio J</t>
        </is>
      </c>
      <c r="J1" s="5" t="n"/>
      <c r="K1" s="4" t="inlineStr">
        <is>
          <t>Ultima Actualización</t>
        </is>
      </c>
      <c r="L1" s="6">
        <f>TODAY()</f>
        <v/>
      </c>
    </row>
    <row r="2">
      <c r="A2" t="inlineStr">
        <is>
          <t>Plamen Andreev</t>
        </is>
      </c>
      <c r="B2" t="n">
        <v>3380000</v>
      </c>
      <c r="C2" t="inlineStr">
        <is>
          <t>Mario Climent</t>
        </is>
      </c>
      <c r="D2" s="7" t="n">
        <v>4000000</v>
      </c>
      <c r="E2" s="5" t="inlineStr">
        <is>
          <t>Manu Justo</t>
        </is>
      </c>
      <c r="F2" s="7" t="n">
        <v>1068400</v>
      </c>
      <c r="G2" s="8">
        <f>SUM(D:D)</f>
        <v/>
      </c>
      <c r="H2" s="9" t="n">
        <v>38300000</v>
      </c>
      <c r="I2" s="9" t="n">
        <v>1130000</v>
      </c>
      <c r="J2" s="5" t="inlineStr">
        <is>
          <t>J2</t>
        </is>
      </c>
      <c r="K2" s="6" t="n">
        <v>45936</v>
      </c>
    </row>
    <row r="3">
      <c r="A3" t="inlineStr">
        <is>
          <t>Nico Ratti</t>
        </is>
      </c>
      <c r="B3" t="n">
        <v>470000</v>
      </c>
      <c r="C3" t="inlineStr">
        <is>
          <t>Álex Calatrava</t>
        </is>
      </c>
      <c r="D3" s="7" t="n">
        <v>8000000</v>
      </c>
      <c r="E3" t="inlineStr">
        <is>
          <t>Nico Ratti</t>
        </is>
      </c>
      <c r="F3" s="7" t="n">
        <v>423200</v>
      </c>
      <c r="G3" s="2" t="n"/>
      <c r="I3" s="9" t="n">
        <v>800000</v>
      </c>
      <c r="J3" t="inlineStr">
        <is>
          <t>J3</t>
        </is>
      </c>
    </row>
    <row r="4">
      <c r="A4" t="inlineStr">
        <is>
          <t>Francisco Montero</t>
        </is>
      </c>
      <c r="B4" t="n">
        <v>2330000</v>
      </c>
      <c r="C4" t="inlineStr">
        <is>
          <t>Amatucci</t>
        </is>
      </c>
      <c r="D4" s="7" t="n">
        <v>3300000</v>
      </c>
      <c r="E4" t="inlineStr">
        <is>
          <t>Isaac Obeng</t>
        </is>
      </c>
      <c r="F4" s="7" t="n">
        <v>191500</v>
      </c>
      <c r="G4" s="2" t="inlineStr">
        <is>
          <t>Ingresado Total</t>
        </is>
      </c>
      <c r="H4" s="2" t="inlineStr">
        <is>
          <t>Beneficio Total Jornadas</t>
        </is>
      </c>
      <c r="I4" s="9" t="n">
        <v>710000</v>
      </c>
      <c r="J4" s="5" t="inlineStr">
        <is>
          <t>J4</t>
        </is>
      </c>
      <c r="K4" t="inlineStr">
        <is>
          <t>Compras</t>
        </is>
      </c>
      <c r="L4" s="5">
        <f>COUNT(Guacamayos!$D$2:$D$14)</f>
        <v/>
      </c>
    </row>
    <row r="5">
      <c r="A5" t="inlineStr">
        <is>
          <t>Diego Sánchez</t>
        </is>
      </c>
      <c r="B5" t="n">
        <v>1870000</v>
      </c>
      <c r="C5" t="inlineStr">
        <is>
          <t>Aitor Córdoba</t>
        </is>
      </c>
      <c r="D5" s="7" t="n">
        <v>4500000</v>
      </c>
      <c r="E5" t="inlineStr">
        <is>
          <t>Saúl del Cerro</t>
        </is>
      </c>
      <c r="F5" s="7" t="n">
        <v>252900</v>
      </c>
      <c r="G5" s="8">
        <f>SUM(F:F)</f>
        <v/>
      </c>
      <c r="H5" s="8">
        <f>SUM(Guacamayos!$I$2:$I$7)</f>
        <v/>
      </c>
      <c r="I5" s="9" t="n">
        <v>790000</v>
      </c>
      <c r="J5" t="inlineStr">
        <is>
          <t>J5</t>
        </is>
      </c>
      <c r="K5" t="inlineStr">
        <is>
          <t>Ventas</t>
        </is>
      </c>
      <c r="L5" s="5">
        <f>COUNT(Guacamayos!$F$2:$F$18)</f>
        <v/>
      </c>
    </row>
    <row r="6">
      <c r="A6" t="inlineStr">
        <is>
          <t>Juan Gutiérrez</t>
        </is>
      </c>
      <c r="B6" t="n">
        <v>2850000</v>
      </c>
      <c r="C6" t="inlineStr">
        <is>
          <t>Palomares</t>
        </is>
      </c>
      <c r="D6" s="7" t="n">
        <v>900000</v>
      </c>
      <c r="E6" t="inlineStr">
        <is>
          <t>Plamen Andreev</t>
        </is>
      </c>
      <c r="F6" s="7" t="n">
        <v>3036900</v>
      </c>
      <c r="G6" s="9" t="n"/>
      <c r="H6" s="2" t="n"/>
      <c r="I6" s="9" t="n">
        <v>720000</v>
      </c>
      <c r="J6" s="5" t="inlineStr">
        <is>
          <t>J6</t>
        </is>
      </c>
    </row>
    <row r="7">
      <c r="A7" t="inlineStr">
        <is>
          <t>Juanma Herzog</t>
        </is>
      </c>
      <c r="B7" t="n">
        <v>2210000</v>
      </c>
      <c r="C7" t="inlineStr">
        <is>
          <t>David Larrubia</t>
        </is>
      </c>
      <c r="D7" s="7" t="n">
        <v>8500000</v>
      </c>
      <c r="E7" t="inlineStr">
        <is>
          <t>Alcaraz</t>
        </is>
      </c>
      <c r="F7" s="7" t="n">
        <v>1808100</v>
      </c>
      <c r="G7" s="2" t="inlineStr">
        <is>
          <t>Saldo Inicial</t>
        </is>
      </c>
      <c r="H7" s="2" t="inlineStr">
        <is>
          <t>Beneficio</t>
        </is>
      </c>
      <c r="I7" s="9" t="n">
        <v>1230000</v>
      </c>
      <c r="J7" t="inlineStr">
        <is>
          <t>J7</t>
        </is>
      </c>
    </row>
    <row r="8">
      <c r="A8" t="inlineStr">
        <is>
          <t>Jorge Moreno</t>
        </is>
      </c>
      <c r="B8" t="n">
        <v>150000</v>
      </c>
      <c r="C8" t="inlineStr">
        <is>
          <t>Adrián Rodríguez</t>
        </is>
      </c>
      <c r="D8" s="7" t="n">
        <v>1680000</v>
      </c>
      <c r="E8" t="inlineStr">
        <is>
          <t>Juanma Herzog</t>
        </is>
      </c>
      <c r="F8" s="7" t="n">
        <v>2101900</v>
      </c>
      <c r="G8" s="8" t="n">
        <v>18960000</v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Iván Gil</t>
        </is>
      </c>
      <c r="B9" t="n">
        <v>1480000</v>
      </c>
      <c r="C9" t="inlineStr">
        <is>
          <t>Selvi Clua</t>
        </is>
      </c>
      <c r="D9" s="7" t="n">
        <v>720000</v>
      </c>
      <c r="E9" t="inlineStr">
        <is>
          <t>Xavi Moreno</t>
        </is>
      </c>
      <c r="F9" s="7" t="n">
        <v>320000</v>
      </c>
      <c r="G9" s="2" t="n"/>
      <c r="J9" t="inlineStr">
        <is>
          <t>J9</t>
        </is>
      </c>
    </row>
    <row r="10">
      <c r="A10" t="inlineStr">
        <is>
          <t>Peio Canales</t>
        </is>
      </c>
      <c r="B10" t="n">
        <v>1620000</v>
      </c>
      <c r="C10" t="inlineStr">
        <is>
          <t>García Pascual</t>
        </is>
      </c>
      <c r="D10" s="7" t="n">
        <v>3700000</v>
      </c>
      <c r="E10" t="inlineStr">
        <is>
          <t>Jorge Moreno</t>
        </is>
      </c>
      <c r="F10" s="7" t="n">
        <v>145700</v>
      </c>
      <c r="G10" s="2" t="inlineStr">
        <is>
          <t>Ofrecer</t>
        </is>
      </c>
      <c r="J10" s="5" t="inlineStr">
        <is>
          <t>J10</t>
        </is>
      </c>
    </row>
    <row r="11">
      <c r="A11" t="inlineStr">
        <is>
          <t>Alcaraz</t>
        </is>
      </c>
      <c r="B11" t="n">
        <v>1860000</v>
      </c>
      <c r="C11" t="inlineStr">
        <is>
          <t>Naim García</t>
        </is>
      </c>
      <c r="D11" s="7" t="n">
        <v>1290000</v>
      </c>
      <c r="E11" t="inlineStr">
        <is>
          <t>Palomares</t>
        </is>
      </c>
      <c r="F11" s="7" t="n">
        <v>666200</v>
      </c>
      <c r="G11" s="9">
        <f>G14+H2/4</f>
        <v/>
      </c>
      <c r="I11" s="9" t="n"/>
      <c r="J11" t="inlineStr">
        <is>
          <t>J11</t>
        </is>
      </c>
    </row>
    <row r="12">
      <c r="A12" t="inlineStr">
        <is>
          <t>Marc-Olivier Doué</t>
        </is>
      </c>
      <c r="B12" t="n">
        <v>940000</v>
      </c>
      <c r="C12" t="inlineStr">
        <is>
          <t>Javi Moreno</t>
        </is>
      </c>
      <c r="D12" s="7" t="n">
        <v>300000</v>
      </c>
      <c r="E12" t="inlineStr">
        <is>
          <t>Marc-Olivier Doué</t>
        </is>
      </c>
      <c r="F12" s="7" t="n">
        <v>862000</v>
      </c>
      <c r="G12" s="2" t="n"/>
      <c r="J12" s="5" t="inlineStr">
        <is>
          <t>J12</t>
        </is>
      </c>
    </row>
    <row r="13">
      <c r="A13" t="inlineStr">
        <is>
          <t>Saúl del Cerro</t>
        </is>
      </c>
      <c r="B13" t="n">
        <v>260000</v>
      </c>
      <c r="C13" t="inlineStr">
        <is>
          <t>Raúl Lizoain</t>
        </is>
      </c>
      <c r="D13" s="7" t="n">
        <v>2260000</v>
      </c>
      <c r="E13" t="inlineStr">
        <is>
          <t>Diego Sánchez</t>
        </is>
      </c>
      <c r="F13" s="7" t="n">
        <v>2831800</v>
      </c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Manu Justo</t>
        </is>
      </c>
      <c r="B14" t="n">
        <v>1100000</v>
      </c>
      <c r="C14" t="inlineStr">
        <is>
          <t>Juanmi Latasa</t>
        </is>
      </c>
      <c r="D14" s="7" t="n">
        <v>5370000</v>
      </c>
      <c r="E14" t="inlineStr">
        <is>
          <t>Selvi Clua</t>
        </is>
      </c>
      <c r="F14" s="7" t="n">
        <v>520200</v>
      </c>
      <c r="G14" s="9">
        <f>G8+G5-G2+H5</f>
        <v/>
      </c>
      <c r="J14" s="5" t="inlineStr">
        <is>
          <t>J14</t>
        </is>
      </c>
    </row>
    <row r="15">
      <c r="A15" t="inlineStr">
        <is>
          <t>Xavi Moreno</t>
        </is>
      </c>
      <c r="B15" t="n">
        <v>320000</v>
      </c>
      <c r="E15" t="inlineStr">
        <is>
          <t>Adrián Rodríguez</t>
        </is>
      </c>
      <c r="F15" s="7" t="n">
        <v>1680300</v>
      </c>
      <c r="J15" t="inlineStr">
        <is>
          <t>J15</t>
        </is>
      </c>
    </row>
    <row r="16">
      <c r="A16" t="inlineStr">
        <is>
          <t>Isaac Obeng</t>
        </is>
      </c>
      <c r="B16" t="n">
        <v>200000</v>
      </c>
      <c r="E16" t="inlineStr">
        <is>
          <t>Iván Gil</t>
        </is>
      </c>
      <c r="F16" s="7" t="n">
        <v>3132600</v>
      </c>
      <c r="J16" s="5" t="inlineStr">
        <is>
          <t>J16</t>
        </is>
      </c>
    </row>
    <row r="17">
      <c r="B17">
        <f>SUM(B2:B16)</f>
        <v/>
      </c>
      <c r="E17" t="inlineStr">
        <is>
          <t>Juan Gutiérrez</t>
        </is>
      </c>
      <c r="F17" s="7" t="n">
        <v>1983100</v>
      </c>
      <c r="J17" t="inlineStr">
        <is>
          <t>J17</t>
        </is>
      </c>
    </row>
    <row r="18">
      <c r="E18" t="inlineStr">
        <is>
          <t>Francisco Montero</t>
        </is>
      </c>
      <c r="F18" s="7" t="n">
        <v>2834100</v>
      </c>
      <c r="J18" s="5" t="inlineStr">
        <is>
          <t>J18</t>
        </is>
      </c>
    </row>
    <row r="19">
      <c r="J19" t="inlineStr">
        <is>
          <t>J19</t>
        </is>
      </c>
    </row>
    <row r="20">
      <c r="J20" s="5" t="inlineStr">
        <is>
          <t>J20</t>
        </is>
      </c>
    </row>
    <row r="21">
      <c r="J21" t="inlineStr">
        <is>
          <t>J21</t>
        </is>
      </c>
    </row>
    <row r="22">
      <c r="J22" s="5" t="inlineStr">
        <is>
          <t>J22</t>
        </is>
      </c>
    </row>
    <row r="23">
      <c r="J23" t="inlineStr">
        <is>
          <t>J23</t>
        </is>
      </c>
    </row>
    <row r="24">
      <c r="J24" s="5" t="inlineStr">
        <is>
          <t>J24</t>
        </is>
      </c>
    </row>
    <row r="25">
      <c r="J25" t="inlineStr">
        <is>
          <t>J25</t>
        </is>
      </c>
    </row>
    <row r="26">
      <c r="J26" s="5" t="inlineStr">
        <is>
          <t>J26</t>
        </is>
      </c>
    </row>
    <row r="27">
      <c r="J27" t="inlineStr">
        <is>
          <t>J27</t>
        </is>
      </c>
    </row>
    <row r="28">
      <c r="J28" s="5" t="inlineStr">
        <is>
          <t>J28</t>
        </is>
      </c>
    </row>
    <row r="29">
      <c r="J29" t="inlineStr">
        <is>
          <t>J29</t>
        </is>
      </c>
    </row>
    <row r="30">
      <c r="J30" s="5" t="inlineStr">
        <is>
          <t>J30</t>
        </is>
      </c>
    </row>
    <row r="31">
      <c r="J31" t="inlineStr">
        <is>
          <t>J31</t>
        </is>
      </c>
    </row>
    <row r="32">
      <c r="J32" s="5" t="inlineStr">
        <is>
          <t>J32</t>
        </is>
      </c>
    </row>
    <row r="33">
      <c r="J33" t="inlineStr">
        <is>
          <t>J33</t>
        </is>
      </c>
    </row>
    <row r="34">
      <c r="J34" s="5" t="inlineStr">
        <is>
          <t>J34</t>
        </is>
      </c>
    </row>
    <row r="35">
      <c r="J35" t="inlineStr">
        <is>
          <t>J35</t>
        </is>
      </c>
    </row>
    <row r="36">
      <c r="J36" s="5" t="inlineStr">
        <is>
          <t>J36</t>
        </is>
      </c>
    </row>
    <row r="37">
      <c r="J37" t="inlineStr">
        <is>
          <t>J37</t>
        </is>
      </c>
    </row>
    <row r="38">
      <c r="J38" s="5" t="inlineStr">
        <is>
          <t>J38</t>
        </is>
      </c>
    </row>
    <row r="39">
      <c r="J39" t="inlineStr">
        <is>
          <t>J39</t>
        </is>
      </c>
    </row>
    <row r="40">
      <c r="J40" s="5" t="inlineStr">
        <is>
          <t>J40</t>
        </is>
      </c>
    </row>
    <row r="41">
      <c r="J41" t="inlineStr">
        <is>
          <t>J41</t>
        </is>
      </c>
    </row>
    <row r="42">
      <c r="J42" s="5" t="inlineStr">
        <is>
          <t>J42</t>
        </is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C1" workbookViewId="0">
      <selection activeCell="G1" sqref="G1:G5"/>
    </sheetView>
  </sheetViews>
  <sheetFormatPr baseColWidth="10" defaultRowHeight="12.5"/>
  <cols>
    <col hidden="1" width="14.453125" customWidth="1" min="1" max="1"/>
    <col hidden="1" width="10.90625" customWidth="1" min="2" max="2"/>
    <col width="13.90625" bestFit="1" customWidth="1" min="3" max="3"/>
    <col width="10.90625" customWidth="1" style="3" min="4" max="4"/>
    <col width="14.6328125" bestFit="1" customWidth="1" min="5" max="5"/>
    <col width="11.453125" customWidth="1" style="3" min="6" max="6"/>
    <col width="15.36328125" bestFit="1" customWidth="1" min="7" max="7"/>
    <col width="21.81640625" bestFit="1" customWidth="1" min="8" max="8"/>
    <col width="14.1796875" bestFit="1" customWidth="1" style="4" min="9" max="9"/>
    <col width="2.54296875" bestFit="1" customWidth="1" min="10" max="10"/>
    <col width="18.36328125" bestFit="1" customWidth="1" min="11" max="11"/>
    <col width="10.90625" customWidth="1" min="12" max="12"/>
  </cols>
  <sheetData>
    <row r="1"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4" t="inlineStr">
        <is>
          <t>Beneficio J</t>
        </is>
      </c>
      <c r="J1" s="5" t="n"/>
      <c r="K1" s="4" t="inlineStr">
        <is>
          <t>Ultima Actualización</t>
        </is>
      </c>
      <c r="L1" s="10">
        <f>TODAY()</f>
        <v/>
      </c>
    </row>
    <row r="2">
      <c r="A2" t="inlineStr">
        <is>
          <t>Dani Jiménez</t>
        </is>
      </c>
      <c r="B2" s="5" t="n">
        <v>2610000</v>
      </c>
      <c r="C2" t="inlineStr">
        <is>
          <t>Lander Olaetxea</t>
        </is>
      </c>
      <c r="D2" s="7" t="n">
        <v>3180000</v>
      </c>
      <c r="E2" s="5" t="inlineStr">
        <is>
          <t>Gui Guedes</t>
        </is>
      </c>
      <c r="F2" s="7" t="n">
        <v>277600</v>
      </c>
      <c r="G2" s="8">
        <f>SUM(D:D)</f>
        <v/>
      </c>
      <c r="H2" s="9" t="n">
        <v>38990000</v>
      </c>
      <c r="I2" s="9" t="n">
        <v>760000</v>
      </c>
      <c r="J2" s="5" t="inlineStr">
        <is>
          <t>J2</t>
        </is>
      </c>
      <c r="K2" s="6" t="n">
        <v>45936</v>
      </c>
    </row>
    <row r="3">
      <c r="A3" t="inlineStr">
        <is>
          <t>Dani Martín</t>
        </is>
      </c>
      <c r="B3" s="5" t="n">
        <v>250000</v>
      </c>
      <c r="C3" t="inlineStr">
        <is>
          <t>Marc Cardona</t>
        </is>
      </c>
      <c r="D3" s="7" t="n">
        <v>770100</v>
      </c>
      <c r="E3" t="inlineStr">
        <is>
          <t>Mateo Mejía</t>
        </is>
      </c>
      <c r="F3" s="7" t="n">
        <v>1190000</v>
      </c>
      <c r="G3" s="2" t="n"/>
      <c r="I3" s="9" t="n">
        <v>990000</v>
      </c>
      <c r="J3" t="inlineStr">
        <is>
          <t>J3</t>
        </is>
      </c>
    </row>
    <row r="4">
      <c r="A4" t="inlineStr">
        <is>
          <t>Gregorio Sierra</t>
        </is>
      </c>
      <c r="B4" s="5" t="n">
        <v>2200000</v>
      </c>
      <c r="C4" t="inlineStr">
        <is>
          <t>Adrián Rodríguez</t>
        </is>
      </c>
      <c r="D4" s="7" t="n">
        <v>670110</v>
      </c>
      <c r="E4" t="inlineStr">
        <is>
          <t>Adrián Rodríguez</t>
        </is>
      </c>
      <c r="F4" s="7" t="n">
        <v>1680000</v>
      </c>
      <c r="G4" s="2" t="inlineStr">
        <is>
          <t>Ingresado Total</t>
        </is>
      </c>
      <c r="H4" s="2" t="inlineStr">
        <is>
          <t>Beneficio Total Jornadas</t>
        </is>
      </c>
      <c r="I4" s="9" t="n">
        <v>930000</v>
      </c>
      <c r="J4" s="5" t="inlineStr">
        <is>
          <t>J4</t>
        </is>
      </c>
      <c r="K4" t="inlineStr">
        <is>
          <t>Compras</t>
        </is>
      </c>
      <c r="L4" s="5">
        <f>COUNT('Cachoneros Mantilla Bésalo'!$D$2:$D$14)</f>
        <v/>
      </c>
    </row>
    <row r="5">
      <c r="A5" t="inlineStr">
        <is>
          <t>Gael Alonso</t>
        </is>
      </c>
      <c r="B5" s="5" t="n">
        <v>850000</v>
      </c>
      <c r="C5" t="inlineStr">
        <is>
          <t>Jastin Garcia</t>
        </is>
      </c>
      <c r="D5" s="7" t="n">
        <v>691000</v>
      </c>
      <c r="E5" t="inlineStr">
        <is>
          <t>Aritz Aldasoro</t>
        </is>
      </c>
      <c r="F5" s="7" t="n">
        <v>3607900</v>
      </c>
      <c r="G5" s="8">
        <f>SUM(F:F)</f>
        <v/>
      </c>
      <c r="H5" s="8">
        <f>SUM('Cachoneros Mantilla Bésalo'!$I$2:$I$7)</f>
        <v/>
      </c>
      <c r="I5" s="9" t="n">
        <v>910000</v>
      </c>
      <c r="J5" t="inlineStr">
        <is>
          <t>J5</t>
        </is>
      </c>
      <c r="K5" t="inlineStr">
        <is>
          <t>Ventas</t>
        </is>
      </c>
      <c r="L5" s="5">
        <f>COUNT('Cachoneros Mantilla Bésalo'!$F$2:$F$17)</f>
        <v/>
      </c>
    </row>
    <row r="6">
      <c r="A6" t="inlineStr">
        <is>
          <t>Marc Bombardó</t>
        </is>
      </c>
      <c r="B6" s="5" t="n">
        <v>770000</v>
      </c>
      <c r="C6" t="inlineStr">
        <is>
          <t>Iván Morante</t>
        </is>
      </c>
      <c r="D6" s="7" t="n">
        <v>5000001</v>
      </c>
      <c r="E6" t="inlineStr">
        <is>
          <t>Lander Olaetxea</t>
        </is>
      </c>
      <c r="F6" s="7" t="n">
        <v>2287000</v>
      </c>
      <c r="I6" s="9" t="n">
        <v>1110000</v>
      </c>
      <c r="J6" s="5" t="inlineStr">
        <is>
          <t>J6</t>
        </is>
      </c>
    </row>
    <row r="7">
      <c r="A7" t="inlineStr">
        <is>
          <t>Nikola Milicic</t>
        </is>
      </c>
      <c r="B7" s="5" t="n">
        <v>240000</v>
      </c>
      <c r="C7" t="inlineStr">
        <is>
          <t>Milos Lukovic</t>
        </is>
      </c>
      <c r="D7" s="7" t="n">
        <v>7681000</v>
      </c>
      <c r="E7" t="inlineStr">
        <is>
          <t>Marc Cardona</t>
        </is>
      </c>
      <c r="F7" s="7" t="n">
        <v>645000</v>
      </c>
      <c r="G7" s="2" t="inlineStr">
        <is>
          <t>Saldo Inicial</t>
        </is>
      </c>
      <c r="H7" s="2" t="inlineStr">
        <is>
          <t>Beneficio</t>
        </is>
      </c>
      <c r="I7" s="9" t="n">
        <v>540000</v>
      </c>
      <c r="J7" t="inlineStr">
        <is>
          <t>J7</t>
        </is>
      </c>
    </row>
    <row r="8">
      <c r="A8" t="inlineStr">
        <is>
          <t>Marcos Luna</t>
        </is>
      </c>
      <c r="B8" s="5" t="n">
        <v>1320000</v>
      </c>
      <c r="C8" t="inlineStr">
        <is>
          <t>Etienne Eto'o</t>
        </is>
      </c>
      <c r="D8" s="7" t="n">
        <v>1540000</v>
      </c>
      <c r="E8" t="inlineStr">
        <is>
          <t>Mario González</t>
        </is>
      </c>
      <c r="F8" s="7" t="n">
        <v>1339400</v>
      </c>
      <c r="G8" s="8" t="n">
        <v>18940000</v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David González</t>
        </is>
      </c>
      <c r="B9" s="5" t="n">
        <v>790000</v>
      </c>
      <c r="C9" t="inlineStr">
        <is>
          <t>Iñigo Vicente</t>
        </is>
      </c>
      <c r="D9" s="7" t="n">
        <v>17632789</v>
      </c>
      <c r="E9" t="inlineStr">
        <is>
          <t>Pablo Sáenz</t>
        </is>
      </c>
      <c r="F9" s="7" t="n">
        <v>2000000</v>
      </c>
      <c r="J9" t="inlineStr">
        <is>
          <t>J9</t>
        </is>
      </c>
    </row>
    <row r="10">
      <c r="A10" t="inlineStr">
        <is>
          <t>Aritz Aldasoro</t>
        </is>
      </c>
      <c r="B10" s="5" t="n">
        <v>4310000</v>
      </c>
      <c r="C10" t="inlineStr">
        <is>
          <t>Piña</t>
        </is>
      </c>
      <c r="D10" s="7" t="n">
        <v>1192000</v>
      </c>
      <c r="E10" t="inlineStr">
        <is>
          <t>Gregorio Sierra</t>
        </is>
      </c>
      <c r="F10" s="7" t="n">
        <v>3500000</v>
      </c>
      <c r="G10" s="2" t="inlineStr">
        <is>
          <t>Ofrecer</t>
        </is>
      </c>
      <c r="J10" s="5" t="inlineStr">
        <is>
          <t>J10</t>
        </is>
      </c>
    </row>
    <row r="11">
      <c r="A11" t="inlineStr">
        <is>
          <t>Izan Merino</t>
        </is>
      </c>
      <c r="B11" s="5" t="n">
        <v>2190000</v>
      </c>
      <c r="C11" t="inlineStr">
        <is>
          <t>Gorka Carrera</t>
        </is>
      </c>
      <c r="D11" s="7" t="n">
        <v>1720000</v>
      </c>
      <c r="E11" t="inlineStr">
        <is>
          <t>Dani Martín</t>
        </is>
      </c>
      <c r="F11" s="7" t="n">
        <v>197200</v>
      </c>
      <c r="G11" s="9">
        <f>G14+H2/4</f>
        <v/>
      </c>
      <c r="J11" t="inlineStr">
        <is>
          <t>J11</t>
        </is>
      </c>
    </row>
    <row r="12">
      <c r="A12" t="inlineStr">
        <is>
          <t>Juan Pedro</t>
        </is>
      </c>
      <c r="B12" s="5" t="n">
        <v>350000</v>
      </c>
      <c r="C12" t="inlineStr">
        <is>
          <t>Aritz Aldasoro</t>
        </is>
      </c>
      <c r="D12" s="7" t="n">
        <v>3130000</v>
      </c>
      <c r="E12" t="inlineStr">
        <is>
          <t>Nikola Milicic</t>
        </is>
      </c>
      <c r="F12" s="7" t="n">
        <v>198900</v>
      </c>
      <c r="J12" s="5" t="inlineStr">
        <is>
          <t>J12</t>
        </is>
      </c>
    </row>
    <row r="13">
      <c r="A13" t="inlineStr">
        <is>
          <t>Gui Guedes</t>
        </is>
      </c>
      <c r="B13" s="5" t="n">
        <v>330000</v>
      </c>
      <c r="C13" t="inlineStr">
        <is>
          <t>Gaspar Campos</t>
        </is>
      </c>
      <c r="D13" s="7" t="n">
        <v>3011000</v>
      </c>
      <c r="E13" t="inlineStr">
        <is>
          <t>Milos Lukovic</t>
        </is>
      </c>
      <c r="F13" s="7" t="n">
        <v>4107800</v>
      </c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Mateo Mejía</t>
        </is>
      </c>
      <c r="B14" s="5" t="n">
        <v>520000</v>
      </c>
      <c r="C14" t="inlineStr">
        <is>
          <t>Luis Chacón</t>
        </is>
      </c>
      <c r="D14" s="7" t="n">
        <v>1890000</v>
      </c>
      <c r="E14" t="inlineStr">
        <is>
          <t>Etienne Eto'o</t>
        </is>
      </c>
      <c r="F14" s="7" t="n">
        <v>921800</v>
      </c>
      <c r="G14" s="9">
        <f>G8+G5-G2+H5</f>
        <v/>
      </c>
      <c r="J14" s="5" t="inlineStr">
        <is>
          <t>J14</t>
        </is>
      </c>
    </row>
    <row r="15">
      <c r="A15" t="inlineStr">
        <is>
          <t>Pablo Sáenz</t>
        </is>
      </c>
      <c r="B15" s="5" t="n">
        <v>2450000</v>
      </c>
      <c r="E15" t="inlineStr">
        <is>
          <t>Marcos Luna</t>
        </is>
      </c>
      <c r="F15" s="7" t="n">
        <v>966100</v>
      </c>
      <c r="J15" t="inlineStr">
        <is>
          <t>J15</t>
        </is>
      </c>
    </row>
    <row r="16">
      <c r="A16" t="inlineStr">
        <is>
          <t>Mario González</t>
        </is>
      </c>
      <c r="B16" s="5" t="n">
        <v>1880000</v>
      </c>
      <c r="E16" t="inlineStr">
        <is>
          <t>Izan Merino</t>
        </is>
      </c>
      <c r="F16" s="7" t="n">
        <v>1381800</v>
      </c>
      <c r="J16" s="5" t="inlineStr">
        <is>
          <t>J16</t>
        </is>
      </c>
    </row>
    <row r="17">
      <c r="B17" s="5">
        <f>SUM(B2:B16)</f>
        <v/>
      </c>
      <c r="C17" s="5" t="n"/>
      <c r="E17" t="inlineStr">
        <is>
          <t>Gorka Carrera</t>
        </is>
      </c>
      <c r="F17" s="7" t="n">
        <v>1460000</v>
      </c>
      <c r="J17" t="inlineStr">
        <is>
          <t>J17</t>
        </is>
      </c>
    </row>
    <row r="18">
      <c r="F18" s="7" t="n"/>
      <c r="J18" s="5" t="inlineStr">
        <is>
          <t>J18</t>
        </is>
      </c>
    </row>
    <row r="19">
      <c r="J19" t="inlineStr">
        <is>
          <t>J19</t>
        </is>
      </c>
    </row>
    <row r="20">
      <c r="J20" s="5" t="inlineStr">
        <is>
          <t>J20</t>
        </is>
      </c>
    </row>
    <row r="21">
      <c r="J21" t="inlineStr">
        <is>
          <t>J21</t>
        </is>
      </c>
    </row>
    <row r="22">
      <c r="J22" s="5" t="inlineStr">
        <is>
          <t>J22</t>
        </is>
      </c>
    </row>
    <row r="23">
      <c r="J23" t="inlineStr">
        <is>
          <t>J23</t>
        </is>
      </c>
    </row>
    <row r="24">
      <c r="J24" s="5" t="inlineStr">
        <is>
          <t>J24</t>
        </is>
      </c>
    </row>
    <row r="25">
      <c r="J25" t="inlineStr">
        <is>
          <t>J25</t>
        </is>
      </c>
    </row>
    <row r="26">
      <c r="J26" s="5" t="inlineStr">
        <is>
          <t>J26</t>
        </is>
      </c>
    </row>
    <row r="27">
      <c r="J27" t="inlineStr">
        <is>
          <t>J27</t>
        </is>
      </c>
    </row>
    <row r="28">
      <c r="J28" s="5" t="inlineStr">
        <is>
          <t>J28</t>
        </is>
      </c>
    </row>
    <row r="29">
      <c r="J29" t="inlineStr">
        <is>
          <t>J29</t>
        </is>
      </c>
    </row>
    <row r="30">
      <c r="J30" s="5" t="inlineStr">
        <is>
          <t>J30</t>
        </is>
      </c>
    </row>
    <row r="31">
      <c r="J31" t="inlineStr">
        <is>
          <t>J31</t>
        </is>
      </c>
    </row>
    <row r="32">
      <c r="J32" s="5" t="inlineStr">
        <is>
          <t>J32</t>
        </is>
      </c>
    </row>
    <row r="33">
      <c r="J33" t="inlineStr">
        <is>
          <t>J33</t>
        </is>
      </c>
    </row>
    <row r="34">
      <c r="J34" s="5" t="inlineStr">
        <is>
          <t>J34</t>
        </is>
      </c>
    </row>
    <row r="35">
      <c r="J35" t="inlineStr">
        <is>
          <t>J35</t>
        </is>
      </c>
    </row>
    <row r="36">
      <c r="J36" s="5" t="inlineStr">
        <is>
          <t>J36</t>
        </is>
      </c>
    </row>
    <row r="37">
      <c r="J37" t="inlineStr">
        <is>
          <t>J37</t>
        </is>
      </c>
    </row>
    <row r="38">
      <c r="J38" s="5" t="inlineStr">
        <is>
          <t>J38</t>
        </is>
      </c>
    </row>
    <row r="39">
      <c r="J39" t="inlineStr">
        <is>
          <t>J39</t>
        </is>
      </c>
    </row>
    <row r="40">
      <c r="J40" s="5" t="inlineStr">
        <is>
          <t>J40</t>
        </is>
      </c>
    </row>
    <row r="41">
      <c r="J41" t="inlineStr">
        <is>
          <t>J41</t>
        </is>
      </c>
    </row>
    <row r="42">
      <c r="J42" s="5" t="inlineStr">
        <is>
          <t>J42</t>
        </is>
      </c>
    </row>
  </sheetData>
  <hyperlinks>
    <hyperlink xmlns:r="http://schemas.openxmlformats.org/officeDocument/2006/relationships" ref="C2" r:id="rId1"/>
  </hyperlinks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12" workbookViewId="0">
      <selection activeCell="D32" sqref="D32"/>
    </sheetView>
  </sheetViews>
  <sheetFormatPr baseColWidth="10" defaultRowHeight="12.5"/>
  <cols>
    <col width="19.08984375" customWidth="1" min="1" max="1"/>
    <col width="11.54296875" customWidth="1" style="9" min="2" max="2"/>
    <col width="15.54296875" bestFit="1" customWidth="1" min="3" max="3"/>
    <col width="13.453125" customWidth="1" style="9" min="4" max="4"/>
    <col width="18.54296875" customWidth="1" min="5" max="5"/>
    <col width="24.26953125" bestFit="1" customWidth="1" min="6" max="6"/>
    <col width="14.54296875" bestFit="1" customWidth="1" style="4" min="7" max="7"/>
    <col width="2.54296875" bestFit="1" customWidth="1" min="8" max="8"/>
    <col width="18.36328125" bestFit="1" customWidth="1" min="9" max="9"/>
    <col width="17" bestFit="1" customWidth="1" min="10" max="10"/>
    <col width="11.54296875" customWidth="1" min="11" max="11"/>
    <col width="13.6328125" bestFit="1" customWidth="1" min="12" max="12"/>
    <col width="23.7265625" bestFit="1" customWidth="1" min="13" max="13"/>
    <col width="24.54296875" customWidth="1" min="14" max="14"/>
    <col width="23.7265625" bestFit="1" customWidth="1" min="15" max="15"/>
    <col width="11.54296875" customWidth="1" min="16" max="16378"/>
    <col width="10.90625" customWidth="1" min="16379" max="16384"/>
  </cols>
  <sheetData>
    <row r="1" customFormat="1" s="2">
      <c r="A1" s="2" t="inlineStr">
        <is>
          <t>Altas</t>
        </is>
      </c>
      <c r="B1" s="9" t="inlineStr">
        <is>
          <t>Pérdidas</t>
        </is>
      </c>
      <c r="C1" s="2" t="inlineStr">
        <is>
          <t>Bajas</t>
        </is>
      </c>
      <c r="D1" s="9" t="inlineStr">
        <is>
          <t>Ingresos</t>
        </is>
      </c>
      <c r="E1" s="2" t="inlineStr">
        <is>
          <t>Total Ingresos</t>
        </is>
      </c>
      <c r="F1" s="2" t="inlineStr">
        <is>
          <t>Valor Inicial</t>
        </is>
      </c>
      <c r="G1" s="4" t="inlineStr">
        <is>
          <t>Beneficio J</t>
        </is>
      </c>
      <c r="H1" s="5" t="n"/>
      <c r="I1" s="4" t="inlineStr">
        <is>
          <t>Ultima Actualización</t>
        </is>
      </c>
      <c r="J1" s="6">
        <f>TODAY()</f>
        <v/>
      </c>
    </row>
    <row r="2">
      <c r="A2" t="inlineStr">
        <is>
          <t>Brian Cipenga</t>
        </is>
      </c>
      <c r="B2" s="9" t="n">
        <v>1160000</v>
      </c>
      <c r="C2" t="inlineStr">
        <is>
          <t>Marcos de Sousa</t>
        </is>
      </c>
      <c r="D2" s="9" t="n">
        <v>3000000</v>
      </c>
      <c r="E2" s="8">
        <f>SUM(D:D)</f>
        <v/>
      </c>
      <c r="F2" s="8" t="n">
        <v>21250000</v>
      </c>
      <c r="G2" s="9" t="n">
        <v>930000</v>
      </c>
      <c r="H2" s="5" t="inlineStr">
        <is>
          <t>J2</t>
        </is>
      </c>
      <c r="I2" s="6" t="n">
        <v>45936</v>
      </c>
    </row>
    <row r="3">
      <c r="A3" t="inlineStr">
        <is>
          <t>Ekain Díaz</t>
        </is>
      </c>
      <c r="B3" s="9" t="n">
        <v>190000</v>
      </c>
      <c r="C3" t="inlineStr">
        <is>
          <t>Eric Curbelo</t>
        </is>
      </c>
      <c r="D3" s="9" t="n">
        <v>1050000</v>
      </c>
      <c r="F3" s="5" t="n"/>
      <c r="G3" s="9" t="n">
        <v>750000</v>
      </c>
      <c r="H3" t="inlineStr">
        <is>
          <t>J3</t>
        </is>
      </c>
      <c r="I3" s="5" t="n"/>
    </row>
    <row r="4">
      <c r="A4" t="inlineStr">
        <is>
          <t>Moussa Diakité</t>
        </is>
      </c>
      <c r="B4" s="9" t="n">
        <v>2860000</v>
      </c>
      <c r="C4" t="inlineStr">
        <is>
          <t>Jair</t>
        </is>
      </c>
      <c r="D4" s="9" t="n">
        <v>1040000</v>
      </c>
      <c r="E4" s="2" t="inlineStr">
        <is>
          <t>Total Perdidas</t>
        </is>
      </c>
      <c r="F4" s="4" t="inlineStr">
        <is>
          <t>Valor Actual</t>
        </is>
      </c>
      <c r="G4" s="9" t="n">
        <v>790000</v>
      </c>
      <c r="H4" s="5" t="inlineStr">
        <is>
          <t>J4</t>
        </is>
      </c>
      <c r="I4" t="inlineStr">
        <is>
          <t>Compras</t>
        </is>
      </c>
      <c r="J4" s="5">
        <f>COUNT(Llaule!$B$2:$B$32)+2</f>
        <v/>
      </c>
    </row>
    <row r="5">
      <c r="A5" t="inlineStr">
        <is>
          <t>Áron Yaakobishvili</t>
        </is>
      </c>
      <c r="B5" s="9" t="n">
        <v>2000000</v>
      </c>
      <c r="C5" t="inlineStr">
        <is>
          <t>Ortuño</t>
        </is>
      </c>
      <c r="D5" s="9" t="n">
        <v>3690700</v>
      </c>
      <c r="E5" s="8">
        <f>SUM(B:B)</f>
        <v/>
      </c>
      <c r="F5" s="9" t="n">
        <v>44840000</v>
      </c>
      <c r="G5" s="9" t="n">
        <v>750000</v>
      </c>
      <c r="H5" t="inlineStr">
        <is>
          <t>J5</t>
        </is>
      </c>
      <c r="I5" t="inlineStr">
        <is>
          <t>Ventas</t>
        </is>
      </c>
      <c r="J5" s="5">
        <f>COUNT(Llaule!$D$2:$D$27)+2</f>
        <v/>
      </c>
    </row>
    <row r="6">
      <c r="A6" t="inlineStr">
        <is>
          <t>Bicho</t>
        </is>
      </c>
      <c r="B6" s="9" t="n">
        <v>1200000</v>
      </c>
      <c r="C6" t="inlineStr">
        <is>
          <t>Ronaldo</t>
        </is>
      </c>
      <c r="D6" s="9" t="n">
        <v>519400</v>
      </c>
      <c r="G6" s="9" t="n">
        <v>1030000</v>
      </c>
      <c r="H6" s="5" t="inlineStr">
        <is>
          <t>J6</t>
        </is>
      </c>
      <c r="I6" s="5" t="n"/>
    </row>
    <row r="7">
      <c r="A7" t="inlineStr">
        <is>
          <t>Mika Mármol</t>
        </is>
      </c>
      <c r="B7" s="9" t="n">
        <v>4160000</v>
      </c>
      <c r="C7" s="11" t="inlineStr">
        <is>
          <t>Brais Martinez</t>
        </is>
      </c>
      <c r="D7" s="9" t="n">
        <v>323000</v>
      </c>
      <c r="E7" s="2" t="inlineStr">
        <is>
          <t>Saldo Inicial</t>
        </is>
      </c>
      <c r="F7" s="2" t="inlineStr">
        <is>
          <t>Total de beneficio Jornadas</t>
        </is>
      </c>
      <c r="G7" s="9" t="n">
        <v>1150000</v>
      </c>
      <c r="H7" t="inlineStr">
        <is>
          <t>J7</t>
        </is>
      </c>
      <c r="I7" s="5" t="n"/>
    </row>
    <row r="8">
      <c r="A8" t="inlineStr">
        <is>
          <t>Mario Jimenez</t>
        </is>
      </c>
      <c r="B8" s="9" t="n">
        <v>250000</v>
      </c>
      <c r="C8" s="11" t="inlineStr">
        <is>
          <t>Arnau Rafus</t>
        </is>
      </c>
      <c r="D8" s="9" t="n">
        <v>190000</v>
      </c>
      <c r="E8" s="8" t="n">
        <v>18750000</v>
      </c>
      <c r="F8" s="8">
        <f>SUM(Llaule!$G$2:$G$43)</f>
        <v/>
      </c>
      <c r="H8" s="5" t="inlineStr">
        <is>
          <t>J8</t>
        </is>
      </c>
      <c r="I8" s="5" t="n"/>
    </row>
    <row r="9">
      <c r="A9" t="inlineStr">
        <is>
          <t>David Torres</t>
        </is>
      </c>
      <c r="B9" s="9" t="n">
        <v>1560000</v>
      </c>
      <c r="C9" s="11" t="inlineStr">
        <is>
          <t>Ayman Arguigue</t>
        </is>
      </c>
      <c r="D9" s="9" t="n">
        <v>165300</v>
      </c>
      <c r="E9" s="5" t="n"/>
      <c r="F9" s="5" t="n"/>
      <c r="G9" s="9" t="n"/>
      <c r="H9" t="inlineStr">
        <is>
          <t>J9</t>
        </is>
      </c>
      <c r="I9" s="5" t="n"/>
    </row>
    <row r="10" ht="15" customHeight="1">
      <c r="A10" t="inlineStr">
        <is>
          <t>Riki Rodríguez</t>
        </is>
      </c>
      <c r="B10" s="9" t="n">
        <v>3840000</v>
      </c>
      <c r="C10" t="inlineStr">
        <is>
          <t>Nico Ratti</t>
        </is>
      </c>
      <c r="D10" s="9" t="n">
        <v>551100</v>
      </c>
      <c r="E10" s="12" t="inlineStr">
        <is>
          <t>Saldo Actual</t>
        </is>
      </c>
      <c r="F10" s="13" t="inlineStr">
        <is>
          <t>Beneficio</t>
        </is>
      </c>
      <c r="G10" s="9" t="n"/>
      <c r="H10" s="5" t="inlineStr">
        <is>
          <t>J10</t>
        </is>
      </c>
      <c r="I10" s="5" t="n"/>
    </row>
    <row r="11" ht="15" customHeight="1">
      <c r="A11" t="inlineStr">
        <is>
          <t>Juan Pérez</t>
        </is>
      </c>
      <c r="B11" s="9" t="n">
        <v>400000</v>
      </c>
      <c r="C11" t="inlineStr">
        <is>
          <t>Saul Garcia</t>
        </is>
      </c>
      <c r="D11" s="9" t="n">
        <v>908300</v>
      </c>
      <c r="E11" s="14">
        <f>E8+E2-E5+F8</f>
        <v/>
      </c>
      <c r="F11" s="8">
        <f>E11-E8+F5-F2-F8</f>
        <v/>
      </c>
      <c r="H11" t="inlineStr">
        <is>
          <t>J11</t>
        </is>
      </c>
      <c r="I11" s="5" t="n"/>
    </row>
    <row r="12">
      <c r="A12" t="inlineStr">
        <is>
          <t>Íñigo Sainz-Maza</t>
        </is>
      </c>
      <c r="B12" s="9" t="n">
        <v>2160000</v>
      </c>
      <c r="C12" s="11" t="inlineStr">
        <is>
          <t>David Torres</t>
        </is>
      </c>
      <c r="D12" s="9" t="n">
        <v>6500000</v>
      </c>
      <c r="E12" s="10" t="n"/>
      <c r="H12" s="5" t="inlineStr">
        <is>
          <t>J12</t>
        </is>
      </c>
      <c r="I12" s="5" t="n"/>
    </row>
    <row r="13">
      <c r="A13" t="inlineStr">
        <is>
          <t>Juan Larios</t>
        </is>
      </c>
      <c r="B13" s="9" t="n">
        <v>1560000</v>
      </c>
      <c r="C13" s="11" t="inlineStr">
        <is>
          <t>Mario Jimenez</t>
        </is>
      </c>
      <c r="D13" s="9" t="n">
        <v>240600</v>
      </c>
      <c r="E13" s="10" t="n"/>
      <c r="F13" s="2" t="inlineStr">
        <is>
          <t>Ofrecer</t>
        </is>
      </c>
      <c r="G13" s="9" t="n"/>
      <c r="H13" t="inlineStr">
        <is>
          <t>J13</t>
        </is>
      </c>
      <c r="I13" s="5" t="n"/>
    </row>
    <row r="14">
      <c r="A14" s="5" t="inlineStr">
        <is>
          <t>Yayo</t>
        </is>
      </c>
      <c r="B14" s="9" t="n">
        <v>743400</v>
      </c>
      <c r="C14" t="inlineStr">
        <is>
          <t>Íñigo Sainz-Maza</t>
        </is>
      </c>
      <c r="D14" s="9" t="n">
        <v>2000000</v>
      </c>
      <c r="F14" s="15">
        <f>E11+F5/4</f>
        <v/>
      </c>
      <c r="G14" s="9" t="n"/>
      <c r="H14" s="5" t="inlineStr">
        <is>
          <t>J14</t>
        </is>
      </c>
      <c r="I14" s="5" t="n"/>
    </row>
    <row r="15">
      <c r="A15" t="inlineStr">
        <is>
          <t>Marvel</t>
        </is>
      </c>
      <c r="B15" s="9" t="n">
        <v>2260000</v>
      </c>
      <c r="C15" t="inlineStr">
        <is>
          <t>Cristian Rodríguez</t>
        </is>
      </c>
      <c r="D15" s="9" t="n">
        <v>1012100</v>
      </c>
      <c r="F15" s="5" t="n"/>
      <c r="G15" s="9" t="n"/>
      <c r="H15" t="inlineStr">
        <is>
          <t>J15</t>
        </is>
      </c>
      <c r="I15" s="5" t="n"/>
    </row>
    <row r="16">
      <c r="A16" t="inlineStr">
        <is>
          <t>Arnau Puigmal</t>
        </is>
      </c>
      <c r="B16" s="9" t="n">
        <v>2760000</v>
      </c>
      <c r="C16" t="inlineStr">
        <is>
          <t>Carlos Dotor</t>
        </is>
      </c>
      <c r="D16" s="9" t="n">
        <v>2465900</v>
      </c>
      <c r="F16" s="5" t="n"/>
      <c r="G16" s="9" t="n"/>
      <c r="H16" s="5" t="inlineStr">
        <is>
          <t>J16</t>
        </is>
      </c>
      <c r="I16" s="5" t="n"/>
    </row>
    <row r="17">
      <c r="A17" t="inlineStr">
        <is>
          <t>Raúl Lizoain</t>
        </is>
      </c>
      <c r="B17" s="9" t="n">
        <v>1260000</v>
      </c>
      <c r="C17" t="inlineStr">
        <is>
          <t>Ekain Díaz</t>
        </is>
      </c>
      <c r="D17" s="9" t="n">
        <v>145200</v>
      </c>
      <c r="F17" s="5" t="n"/>
      <c r="G17" s="9" t="n"/>
      <c r="H17" t="inlineStr">
        <is>
          <t>J17</t>
        </is>
      </c>
      <c r="I17" s="5" t="n"/>
    </row>
    <row r="18">
      <c r="A18" t="inlineStr">
        <is>
          <t>Adu Ares</t>
        </is>
      </c>
      <c r="B18" s="9" t="n">
        <v>980000</v>
      </c>
      <c r="C18" t="inlineStr">
        <is>
          <t>Arnau Puigmal</t>
        </is>
      </c>
      <c r="D18" s="9" t="n">
        <v>2342500</v>
      </c>
      <c r="F18" s="5" t="n"/>
      <c r="G18" s="9" t="n"/>
      <c r="H18" s="5" t="inlineStr">
        <is>
          <t>J18</t>
        </is>
      </c>
      <c r="I18" s="5" t="n"/>
    </row>
    <row r="19">
      <c r="A19" t="inlineStr">
        <is>
          <t>Paulino</t>
        </is>
      </c>
      <c r="B19" s="9" t="n">
        <v>4220000</v>
      </c>
      <c r="C19" t="inlineStr">
        <is>
          <t>Paulino</t>
        </is>
      </c>
      <c r="D19" s="9" t="n">
        <v>3940000</v>
      </c>
      <c r="H19" t="inlineStr">
        <is>
          <t>J19</t>
        </is>
      </c>
    </row>
    <row r="20">
      <c r="A20" t="inlineStr">
        <is>
          <t>Juanmi Latasa</t>
        </is>
      </c>
      <c r="B20" s="9" t="n">
        <v>5760000</v>
      </c>
      <c r="C20" t="inlineStr">
        <is>
          <t>Juan Larios</t>
        </is>
      </c>
      <c r="D20" s="9" t="n">
        <v>963700</v>
      </c>
      <c r="H20" s="5" t="inlineStr">
        <is>
          <t>J20</t>
        </is>
      </c>
    </row>
    <row r="21">
      <c r="A21" t="inlineStr">
        <is>
          <t>Selu Diallo</t>
        </is>
      </c>
      <c r="B21" s="9" t="n">
        <v>650000</v>
      </c>
      <c r="C21" t="inlineStr">
        <is>
          <t>André Horta</t>
        </is>
      </c>
      <c r="D21" s="9" t="n">
        <v>2255400</v>
      </c>
      <c r="H21" t="inlineStr">
        <is>
          <t>J21</t>
        </is>
      </c>
    </row>
    <row r="22">
      <c r="A22" t="inlineStr">
        <is>
          <t>Pau Sans</t>
        </is>
      </c>
      <c r="B22" s="9" t="n">
        <v>1500000</v>
      </c>
      <c r="C22" t="inlineStr">
        <is>
          <t>Juan Pérez</t>
        </is>
      </c>
      <c r="D22" s="9" t="n">
        <v>268800</v>
      </c>
      <c r="H22" s="5" t="inlineStr">
        <is>
          <t>J22</t>
        </is>
      </c>
    </row>
    <row r="23">
      <c r="A23" t="inlineStr">
        <is>
          <t>Ontiveros</t>
        </is>
      </c>
      <c r="B23" s="9" t="n">
        <v>7260000</v>
      </c>
      <c r="C23" t="inlineStr">
        <is>
          <t>Raúl Lizoain</t>
        </is>
      </c>
      <c r="D23" s="9" t="n">
        <v>2260000</v>
      </c>
      <c r="H23" t="inlineStr">
        <is>
          <t>J23</t>
        </is>
      </c>
    </row>
    <row r="24">
      <c r="A24" t="inlineStr">
        <is>
          <t>Nico Ratti</t>
        </is>
      </c>
      <c r="B24" s="9" t="n">
        <v>416000</v>
      </c>
      <c r="C24" t="inlineStr">
        <is>
          <t>Pau Sans</t>
        </is>
      </c>
      <c r="D24" s="9" t="n">
        <v>1120400</v>
      </c>
      <c r="H24" s="5" t="inlineStr">
        <is>
          <t>J24</t>
        </is>
      </c>
    </row>
    <row r="25">
      <c r="A25" t="inlineStr">
        <is>
          <t>Arana</t>
        </is>
      </c>
      <c r="B25" s="9" t="n">
        <v>4160000</v>
      </c>
      <c r="C25" t="inlineStr">
        <is>
          <t>Mohamed Bouldini</t>
        </is>
      </c>
      <c r="D25" s="9" t="n">
        <v>649900</v>
      </c>
      <c r="H25" t="inlineStr">
        <is>
          <t>J25</t>
        </is>
      </c>
    </row>
    <row r="26">
      <c r="A26" t="inlineStr">
        <is>
          <t>Diego González</t>
        </is>
      </c>
      <c r="B26" s="9" t="n">
        <v>360000</v>
      </c>
      <c r="C26" t="inlineStr">
        <is>
          <t>Juanmi Latasa</t>
        </is>
      </c>
      <c r="D26" s="9" t="n">
        <v>5370000</v>
      </c>
      <c r="H26" s="5" t="inlineStr">
        <is>
          <t>J26</t>
        </is>
      </c>
    </row>
    <row r="27">
      <c r="A27" t="inlineStr">
        <is>
          <t>Pedro Alemañ</t>
        </is>
      </c>
      <c r="B27" s="9" t="n">
        <v>1860000</v>
      </c>
      <c r="C27" t="inlineStr">
        <is>
          <t>Brian Cipenga</t>
        </is>
      </c>
      <c r="D27" s="9" t="n">
        <v>5800000</v>
      </c>
      <c r="H27" t="inlineStr">
        <is>
          <t>J27</t>
        </is>
      </c>
    </row>
    <row r="28">
      <c r="A28" t="inlineStr">
        <is>
          <t>Nélson Monte</t>
        </is>
      </c>
      <c r="B28" s="9" t="n">
        <v>3460000</v>
      </c>
      <c r="H28" s="5" t="inlineStr">
        <is>
          <t>J28</t>
        </is>
      </c>
    </row>
    <row r="29">
      <c r="A29" t="inlineStr">
        <is>
          <t>Jefté Betancor</t>
        </is>
      </c>
      <c r="B29" s="9" t="n">
        <v>820000</v>
      </c>
      <c r="H29" t="inlineStr">
        <is>
          <t>J29</t>
        </is>
      </c>
    </row>
    <row r="30">
      <c r="A30" t="inlineStr">
        <is>
          <t>Duk</t>
        </is>
      </c>
      <c r="B30" s="9" t="n">
        <v>6880000</v>
      </c>
      <c r="H30" s="5" t="inlineStr">
        <is>
          <t>J30</t>
        </is>
      </c>
    </row>
    <row r="31">
      <c r="A31" t="inlineStr">
        <is>
          <t>Ramón Enríquez</t>
        </is>
      </c>
      <c r="B31" s="9" t="n">
        <v>380000</v>
      </c>
      <c r="H31" t="inlineStr">
        <is>
          <t>J31</t>
        </is>
      </c>
    </row>
    <row r="32">
      <c r="A32" t="inlineStr">
        <is>
          <t>Sergio Cubero</t>
        </is>
      </c>
      <c r="B32" s="9" t="n">
        <v>4180000</v>
      </c>
      <c r="H32" s="5" t="inlineStr">
        <is>
          <t>J32</t>
        </is>
      </c>
    </row>
    <row r="33">
      <c r="H33" t="inlineStr">
        <is>
          <t>J33</t>
        </is>
      </c>
    </row>
    <row r="34">
      <c r="H34" s="5" t="inlineStr">
        <is>
          <t>J34</t>
        </is>
      </c>
    </row>
    <row r="35">
      <c r="H35" t="inlineStr">
        <is>
          <t>J35</t>
        </is>
      </c>
    </row>
    <row r="36">
      <c r="H36" s="5" t="inlineStr">
        <is>
          <t>J36</t>
        </is>
      </c>
    </row>
    <row r="37">
      <c r="H37" t="inlineStr">
        <is>
          <t>J37</t>
        </is>
      </c>
    </row>
    <row r="38">
      <c r="H38" s="5" t="inlineStr">
        <is>
          <t>J38</t>
        </is>
      </c>
    </row>
    <row r="39">
      <c r="H39" t="inlineStr">
        <is>
          <t>J39</t>
        </is>
      </c>
    </row>
    <row r="40">
      <c r="H40" s="5" t="inlineStr">
        <is>
          <t>J40</t>
        </is>
      </c>
    </row>
    <row r="41">
      <c r="H41" t="inlineStr">
        <is>
          <t>J41</t>
        </is>
      </c>
    </row>
    <row r="42">
      <c r="H42" s="5" t="inlineStr">
        <is>
          <t>J42</t>
        </is>
      </c>
    </row>
    <row r="43">
      <c r="G43" s="9" t="n">
        <v>-1000000</v>
      </c>
      <c r="H43" t="inlineStr">
        <is>
          <t>Gracieta 16M</t>
        </is>
      </c>
    </row>
    <row r="44">
      <c r="G44" s="9" t="n"/>
    </row>
  </sheetData>
  <pageMargins left="0" right="0" top="0.393700787401575" bottom="0.393700787401575" header="0" footer="0"/>
  <pageSetup orientation="portrait" paperSize="0" fitToHeight="0" fitToWidth="0" horizontalDpi="0" verticalDpi="0" copies="0"/>
  <headerFooter>
    <oddHeader>&amp;C&amp;A</oddHeader>
    <oddFooter>&amp;CPágina &amp;P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G23" sqref="G23"/>
    </sheetView>
  </sheetViews>
  <sheetFormatPr baseColWidth="10" defaultRowHeight="12.5"/>
  <cols>
    <col hidden="1" width="16.36328125" customWidth="1" min="1" max="1"/>
    <col hidden="1" width="10.90625" customWidth="1" min="2" max="2"/>
    <col width="14.54296875" bestFit="1" customWidth="1" min="3" max="3"/>
    <col width="10.36328125" bestFit="1" customWidth="1" style="3" min="4" max="4"/>
    <col width="15.36328125" bestFit="1" customWidth="1" min="5" max="5"/>
    <col width="13.7265625" bestFit="1" customWidth="1" style="3" min="6" max="6"/>
    <col width="13.36328125" bestFit="1" customWidth="1" min="7" max="7"/>
    <col width="20.6328125" bestFit="1" customWidth="1" min="8" max="8"/>
    <col width="13.36328125" bestFit="1" customWidth="1" style="16" min="9" max="9"/>
    <col width="3.7265625" bestFit="1" customWidth="1" min="10" max="10"/>
    <col width="18.1796875" bestFit="1" customWidth="1" min="11" max="11"/>
    <col width="10.90625" customWidth="1" min="12" max="12"/>
  </cols>
  <sheetData>
    <row r="1"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s="2" t="inlineStr">
        <is>
          <t>Valor Plantilla Actual</t>
        </is>
      </c>
      <c r="I1" s="4" t="inlineStr">
        <is>
          <t>Beneficio</t>
        </is>
      </c>
      <c r="J1" s="5" t="n"/>
      <c r="K1" s="4" t="inlineStr">
        <is>
          <t>Ultima Actualización</t>
        </is>
      </c>
      <c r="L1" s="10">
        <f>TODAY()</f>
        <v/>
      </c>
    </row>
    <row r="2">
      <c r="A2" t="inlineStr">
        <is>
          <t>Gaëtan Poussin</t>
        </is>
      </c>
      <c r="B2" t="n">
        <v>2020000</v>
      </c>
      <c r="C2" t="inlineStr">
        <is>
          <t>Paulino</t>
        </is>
      </c>
      <c r="D2" s="7" t="n">
        <v>4050000</v>
      </c>
      <c r="E2" t="inlineStr">
        <is>
          <t>Gaëtan Poussin</t>
        </is>
      </c>
      <c r="F2" s="7" t="n">
        <v>1986800</v>
      </c>
      <c r="G2" s="8">
        <f>SUM(D:D)</f>
        <v/>
      </c>
      <c r="H2" s="9" t="n">
        <v>42270000</v>
      </c>
      <c r="I2" s="9" t="n">
        <v>990000</v>
      </c>
      <c r="J2" s="5" t="inlineStr">
        <is>
          <t>J2</t>
        </is>
      </c>
      <c r="K2" s="6" t="n">
        <v>45936</v>
      </c>
    </row>
    <row r="3">
      <c r="A3" t="inlineStr">
        <is>
          <t>Jesús Owono</t>
        </is>
      </c>
      <c r="B3" t="n">
        <v>2290000</v>
      </c>
      <c r="C3" t="inlineStr">
        <is>
          <t>Peru Rodríguez</t>
        </is>
      </c>
      <c r="D3" s="7" t="n">
        <v>1530030</v>
      </c>
      <c r="E3" t="inlineStr">
        <is>
          <t>Michal Willmann</t>
        </is>
      </c>
      <c r="F3" s="7" t="n">
        <v>736700</v>
      </c>
      <c r="G3" s="2" t="n"/>
      <c r="H3" s="2" t="n"/>
      <c r="I3" s="9" t="n">
        <v>1200000</v>
      </c>
      <c r="J3" t="inlineStr">
        <is>
          <t>J3</t>
        </is>
      </c>
    </row>
    <row r="4">
      <c r="A4" t="inlineStr">
        <is>
          <t>Adrián Pica</t>
        </is>
      </c>
      <c r="B4" t="n">
        <v>2000000</v>
      </c>
      <c r="C4" t="inlineStr">
        <is>
          <t>Ximo Navarro</t>
        </is>
      </c>
      <c r="D4" s="7" t="n">
        <v>3270000</v>
      </c>
      <c r="E4" t="inlineStr">
        <is>
          <t>Dani Requena</t>
        </is>
      </c>
      <c r="F4" s="7" t="n">
        <v>993000</v>
      </c>
      <c r="G4" s="2" t="inlineStr">
        <is>
          <t>Ingresado Total</t>
        </is>
      </c>
      <c r="H4" s="2" t="inlineStr">
        <is>
          <t>Beneficio Total Jornadas</t>
        </is>
      </c>
      <c r="I4" s="9" t="n">
        <v>690000</v>
      </c>
      <c r="J4" s="5" t="inlineStr">
        <is>
          <t>J4</t>
        </is>
      </c>
      <c r="K4" t="inlineStr">
        <is>
          <t>Compras</t>
        </is>
      </c>
      <c r="L4" s="5">
        <f>COUNT('Steaua de grifo'!$D$2:$D$17)</f>
        <v/>
      </c>
    </row>
    <row r="5">
      <c r="A5" t="inlineStr">
        <is>
          <t>Arnau Comas</t>
        </is>
      </c>
      <c r="B5" t="n">
        <v>1480000</v>
      </c>
      <c r="C5" t="inlineStr">
        <is>
          <t>Guti</t>
        </is>
      </c>
      <c r="D5" s="7" t="n">
        <v>3570000</v>
      </c>
      <c r="E5" t="inlineStr">
        <is>
          <t>Jaouab</t>
        </is>
      </c>
      <c r="F5" s="7" t="n">
        <v>793200</v>
      </c>
      <c r="G5" s="8">
        <f>SUM(F:F)</f>
        <v/>
      </c>
      <c r="H5" s="8">
        <f>SUM('Steaua de grifo'!$I$2:$I$7)</f>
        <v/>
      </c>
      <c r="I5" s="9" t="n">
        <v>710000</v>
      </c>
      <c r="J5" t="inlineStr">
        <is>
          <t>J5</t>
        </is>
      </c>
      <c r="K5" t="inlineStr">
        <is>
          <t>Ventas</t>
        </is>
      </c>
      <c r="L5" s="5">
        <f>COUNT('Steaua de grifo'!$F$2:$F$18)</f>
        <v/>
      </c>
    </row>
    <row r="6">
      <c r="A6" t="inlineStr">
        <is>
          <t>Alex Suárez</t>
        </is>
      </c>
      <c r="B6" t="n">
        <v>2910000</v>
      </c>
      <c r="C6" t="inlineStr">
        <is>
          <t>Álvaro Rodríguez</t>
        </is>
      </c>
      <c r="D6" s="7" t="n">
        <v>800000</v>
      </c>
      <c r="E6" t="inlineStr">
        <is>
          <t>Anuar</t>
        </is>
      </c>
      <c r="F6" s="7" t="n">
        <v>2976100</v>
      </c>
      <c r="G6" s="2" t="n"/>
      <c r="H6" s="2" t="n"/>
      <c r="I6" s="9" t="n">
        <v>950000</v>
      </c>
      <c r="J6" s="5" t="inlineStr">
        <is>
          <t>J6</t>
        </is>
      </c>
    </row>
    <row r="7">
      <c r="A7" t="inlineStr">
        <is>
          <t>Pastoriza</t>
        </is>
      </c>
      <c r="B7" t="n">
        <v>390000</v>
      </c>
      <c r="C7" t="inlineStr">
        <is>
          <t>Higinio</t>
        </is>
      </c>
      <c r="D7" s="7" t="n">
        <v>1720000</v>
      </c>
      <c r="E7" t="inlineStr">
        <is>
          <t>Alex Suárez</t>
        </is>
      </c>
      <c r="F7" s="7" t="n">
        <v>2120400</v>
      </c>
      <c r="G7" s="2" t="inlineStr">
        <is>
          <t>Saldo Inicial</t>
        </is>
      </c>
      <c r="H7" s="2" t="inlineStr">
        <is>
          <t>Beneficio</t>
        </is>
      </c>
      <c r="I7" s="9" t="n">
        <v>1090000</v>
      </c>
      <c r="J7" t="inlineStr">
        <is>
          <t>J7</t>
        </is>
      </c>
    </row>
    <row r="8">
      <c r="A8" t="inlineStr">
        <is>
          <t>Youness Lachhab</t>
        </is>
      </c>
      <c r="B8" t="n">
        <v>490000</v>
      </c>
      <c r="C8" t="inlineStr">
        <is>
          <t>Min-su</t>
        </is>
      </c>
      <c r="D8" s="7" t="n">
        <v>1230000</v>
      </c>
      <c r="E8" t="inlineStr">
        <is>
          <t>Gabriel Barès</t>
        </is>
      </c>
      <c r="F8" s="7" t="n">
        <v>175300</v>
      </c>
      <c r="G8" s="8" t="n">
        <v>18790000</v>
      </c>
      <c r="H8" s="9">
        <f>G14-G8+H2-(40000000-G8)-H5</f>
        <v/>
      </c>
      <c r="I8" s="4" t="n"/>
      <c r="J8" s="5" t="inlineStr">
        <is>
          <t>J8</t>
        </is>
      </c>
    </row>
    <row r="9">
      <c r="A9" t="inlineStr">
        <is>
          <t>Aarón Ochoa</t>
        </is>
      </c>
      <c r="B9" t="n">
        <v>640000</v>
      </c>
      <c r="C9" t="inlineStr">
        <is>
          <t>Miguel Atienza</t>
        </is>
      </c>
      <c r="D9" s="7" t="n">
        <v>3520000</v>
      </c>
      <c r="E9" t="inlineStr">
        <is>
          <t>Rafael Tresaco</t>
        </is>
      </c>
      <c r="F9" s="7" t="n">
        <v>985600</v>
      </c>
      <c r="G9" s="2" t="n"/>
      <c r="H9" s="2" t="n"/>
      <c r="I9" s="4" t="n"/>
      <c r="J9" t="inlineStr">
        <is>
          <t>J9</t>
        </is>
      </c>
    </row>
    <row r="10">
      <c r="A10" t="inlineStr">
        <is>
          <t>Gabriel Barès</t>
        </is>
      </c>
      <c r="B10" t="n">
        <v>200000</v>
      </c>
      <c r="C10" t="inlineStr">
        <is>
          <t>Matia Barzic</t>
        </is>
      </c>
      <c r="D10" s="7" t="n">
        <v>800000</v>
      </c>
      <c r="E10" t="inlineStr">
        <is>
          <t>Adrián Pica</t>
        </is>
      </c>
      <c r="F10" s="7" t="n">
        <v>1916300</v>
      </c>
      <c r="G10" s="2" t="inlineStr">
        <is>
          <t>Ofrecer</t>
        </is>
      </c>
      <c r="H10" s="2" t="n"/>
      <c r="I10" s="4" t="n"/>
      <c r="J10" s="5" t="inlineStr">
        <is>
          <t>J10</t>
        </is>
      </c>
    </row>
    <row r="11">
      <c r="A11" t="inlineStr">
        <is>
          <t>Ousmane Camara</t>
        </is>
      </c>
      <c r="B11" t="n">
        <v>1710000</v>
      </c>
      <c r="C11" t="inlineStr">
        <is>
          <t>Leonardo Buta</t>
        </is>
      </c>
      <c r="D11" s="7" t="n">
        <v>2290000</v>
      </c>
      <c r="E11" t="inlineStr">
        <is>
          <t>Arnau Comas</t>
        </is>
      </c>
      <c r="F11" s="7" t="n">
        <v>1573400</v>
      </c>
      <c r="G11" s="9">
        <f>G14+H2/4</f>
        <v/>
      </c>
      <c r="H11" s="2" t="n"/>
      <c r="I11" s="4" t="n"/>
      <c r="J11" t="inlineStr">
        <is>
          <t>J11</t>
        </is>
      </c>
    </row>
    <row r="12">
      <c r="A12" t="inlineStr">
        <is>
          <t>Rafael Tresaco</t>
        </is>
      </c>
      <c r="B12" t="n">
        <v>790000</v>
      </c>
      <c r="C12" t="inlineStr">
        <is>
          <t>Jon Bautista</t>
        </is>
      </c>
      <c r="D12" s="7" t="n">
        <v>4400000</v>
      </c>
      <c r="E12" t="inlineStr">
        <is>
          <t>Jesús Owono</t>
        </is>
      </c>
      <c r="F12" s="7" t="n">
        <v>1379200</v>
      </c>
      <c r="J12" s="5" t="inlineStr">
        <is>
          <t>J12</t>
        </is>
      </c>
    </row>
    <row r="13">
      <c r="A13" t="inlineStr">
        <is>
          <t>Michal Willmann</t>
        </is>
      </c>
      <c r="B13" t="n">
        <v>910000</v>
      </c>
      <c r="C13" t="inlineStr">
        <is>
          <t>Pedro López</t>
        </is>
      </c>
      <c r="D13" s="7" t="n">
        <v>1000000</v>
      </c>
      <c r="E13" t="inlineStr">
        <is>
          <t>Álvaro Rodríguez</t>
        </is>
      </c>
      <c r="F13" s="7" t="n">
        <v>2710000</v>
      </c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Dani Requena</t>
        </is>
      </c>
      <c r="B14" t="n">
        <v>1160000</v>
      </c>
      <c r="C14" t="inlineStr">
        <is>
          <t>Mulattieri</t>
        </is>
      </c>
      <c r="D14" s="7" t="n">
        <v>6050001</v>
      </c>
      <c r="E14" t="inlineStr">
        <is>
          <t>Ousmane Camara</t>
        </is>
      </c>
      <c r="F14" s="7" t="n">
        <v>2557600</v>
      </c>
      <c r="G14" s="9">
        <f>G8+G5-G2+H5</f>
        <v/>
      </c>
      <c r="J14" s="5" t="inlineStr">
        <is>
          <t>J14</t>
        </is>
      </c>
    </row>
    <row r="15">
      <c r="A15" t="inlineStr">
        <is>
          <t>Jaouab</t>
        </is>
      </c>
      <c r="B15" t="n">
        <v>950000</v>
      </c>
      <c r="C15" t="inlineStr">
        <is>
          <t>De La Fuente</t>
        </is>
      </c>
      <c r="D15" s="7" t="n">
        <v>7300001</v>
      </c>
      <c r="E15" t="inlineStr">
        <is>
          <t>Aarón Ochoa</t>
        </is>
      </c>
      <c r="F15" s="7" t="n">
        <v>600000</v>
      </c>
      <c r="J15" t="inlineStr">
        <is>
          <t>J15</t>
        </is>
      </c>
    </row>
    <row r="16">
      <c r="A16" t="inlineStr">
        <is>
          <t>Anuar</t>
        </is>
      </c>
      <c r="B16" t="n">
        <v>3270000</v>
      </c>
      <c r="C16" t="inlineStr">
        <is>
          <t>Édgar Badía</t>
        </is>
      </c>
      <c r="D16" s="7" t="n">
        <v>3000001</v>
      </c>
      <c r="E16" t="inlineStr">
        <is>
          <t>Paulino</t>
        </is>
      </c>
      <c r="F16" s="7" t="n">
        <v>4220000</v>
      </c>
      <c r="J16" s="5" t="inlineStr">
        <is>
          <t>J16</t>
        </is>
      </c>
    </row>
    <row r="17">
      <c r="B17" s="5">
        <f>SUM(B2:B16)</f>
        <v/>
      </c>
      <c r="C17" s="5" t="inlineStr">
        <is>
          <t>Paulino</t>
        </is>
      </c>
      <c r="D17" s="7" t="n">
        <v>3940000</v>
      </c>
      <c r="E17" t="inlineStr">
        <is>
          <t>Pedro López</t>
        </is>
      </c>
      <c r="F17" s="7" t="n">
        <v>784800</v>
      </c>
      <c r="J17" t="inlineStr">
        <is>
          <t>J17</t>
        </is>
      </c>
    </row>
    <row r="18">
      <c r="E18" t="inlineStr">
        <is>
          <t>Paulino</t>
        </is>
      </c>
      <c r="F18" s="7" t="n">
        <v>2482000</v>
      </c>
      <c r="J18" s="5" t="inlineStr">
        <is>
          <t>J18</t>
        </is>
      </c>
    </row>
    <row r="19">
      <c r="J19" t="inlineStr">
        <is>
          <t>J19</t>
        </is>
      </c>
    </row>
    <row r="20">
      <c r="J20" s="5" t="inlineStr">
        <is>
          <t>J20</t>
        </is>
      </c>
    </row>
    <row r="21">
      <c r="J21" t="inlineStr">
        <is>
          <t>J21</t>
        </is>
      </c>
    </row>
    <row r="22">
      <c r="J22" s="5" t="inlineStr">
        <is>
          <t>J22</t>
        </is>
      </c>
    </row>
    <row r="23">
      <c r="J23" t="inlineStr">
        <is>
          <t>J23</t>
        </is>
      </c>
    </row>
    <row r="24">
      <c r="J24" s="5" t="inlineStr">
        <is>
          <t>J24</t>
        </is>
      </c>
    </row>
    <row r="25">
      <c r="J25" t="inlineStr">
        <is>
          <t>J25</t>
        </is>
      </c>
    </row>
    <row r="26">
      <c r="J26" s="5" t="inlineStr">
        <is>
          <t>J26</t>
        </is>
      </c>
    </row>
    <row r="27">
      <c r="J27" t="inlineStr">
        <is>
          <t>J27</t>
        </is>
      </c>
    </row>
    <row r="28">
      <c r="J28" s="5" t="inlineStr">
        <is>
          <t>J28</t>
        </is>
      </c>
    </row>
    <row r="29">
      <c r="J29" t="inlineStr">
        <is>
          <t>J29</t>
        </is>
      </c>
    </row>
    <row r="30">
      <c r="J30" s="5" t="inlineStr">
        <is>
          <t>J30</t>
        </is>
      </c>
    </row>
    <row r="31">
      <c r="J31" t="inlineStr">
        <is>
          <t>J31</t>
        </is>
      </c>
    </row>
    <row r="32">
      <c r="J32" s="5" t="inlineStr">
        <is>
          <t>J32</t>
        </is>
      </c>
    </row>
    <row r="33">
      <c r="J33" t="inlineStr">
        <is>
          <t>J33</t>
        </is>
      </c>
    </row>
    <row r="34">
      <c r="J34" s="5" t="inlineStr">
        <is>
          <t>J34</t>
        </is>
      </c>
    </row>
    <row r="35">
      <c r="J35" t="inlineStr">
        <is>
          <t>J35</t>
        </is>
      </c>
    </row>
    <row r="36">
      <c r="J36" s="5" t="inlineStr">
        <is>
          <t>J36</t>
        </is>
      </c>
    </row>
    <row r="37">
      <c r="J37" t="inlineStr">
        <is>
          <t>J37</t>
        </is>
      </c>
    </row>
    <row r="38">
      <c r="J38" s="5" t="inlineStr">
        <is>
          <t>J38</t>
        </is>
      </c>
    </row>
    <row r="39">
      <c r="J39" t="inlineStr">
        <is>
          <t>J39</t>
        </is>
      </c>
    </row>
    <row r="40">
      <c r="J40" s="5" t="inlineStr">
        <is>
          <t>J40</t>
        </is>
      </c>
    </row>
    <row r="41">
      <c r="J41" t="inlineStr">
        <is>
          <t>J41</t>
        </is>
      </c>
    </row>
    <row r="42">
      <c r="J42" s="5" t="inlineStr">
        <is>
          <t>J42</t>
        </is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0" workbookViewId="0">
      <selection activeCell="E28" sqref="E28:F32"/>
    </sheetView>
  </sheetViews>
  <sheetFormatPr baseColWidth="10" defaultRowHeight="12.5"/>
  <cols>
    <col hidden="1" width="15.36328125" customWidth="1" min="1" max="1"/>
    <col hidden="1" width="9.6328125" customWidth="1" min="2" max="2"/>
    <col width="16.1796875" bestFit="1" customWidth="1" min="3" max="3"/>
    <col width="10.90625" customWidth="1" style="3" min="4" max="4"/>
    <col width="16.1796875" bestFit="1" customWidth="1" min="5" max="5"/>
    <col width="14.54296875" customWidth="1" style="3" min="6" max="6"/>
    <col width="14" bestFit="1" customWidth="1" min="7" max="7"/>
    <col width="21.81640625" bestFit="1" customWidth="1" min="8" max="8"/>
    <col width="14.1796875" bestFit="1" customWidth="1" style="4" min="9" max="9"/>
    <col width="2.54296875" bestFit="1" customWidth="1" min="10" max="10"/>
    <col width="18.36328125" bestFit="1" customWidth="1" min="11" max="11"/>
    <col width="10.90625" customWidth="1" min="12" max="12"/>
  </cols>
  <sheetData>
    <row r="1"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4" t="inlineStr">
        <is>
          <t>Beneficio J</t>
        </is>
      </c>
      <c r="J1" s="5" t="n"/>
      <c r="K1" s="4" t="inlineStr">
        <is>
          <t>Ultima Actualización</t>
        </is>
      </c>
      <c r="L1" s="10">
        <f>TODAY()</f>
        <v/>
      </c>
    </row>
    <row r="2">
      <c r="A2" t="inlineStr">
        <is>
          <t>Víctor Aznar</t>
        </is>
      </c>
      <c r="B2" t="n">
        <v>330000</v>
      </c>
      <c r="C2" t="inlineStr">
        <is>
          <t>Álex Lizancos</t>
        </is>
      </c>
      <c r="D2" s="7" t="n">
        <v>650000</v>
      </c>
      <c r="E2" t="inlineStr">
        <is>
          <t>Víctor Aznar</t>
        </is>
      </c>
      <c r="F2" s="7" t="n">
        <v>323900</v>
      </c>
      <c r="G2" s="8">
        <f>SUM(D:D)</f>
        <v/>
      </c>
      <c r="H2" s="9" t="n">
        <v>35860000</v>
      </c>
      <c r="I2" s="9" t="n">
        <v>620000</v>
      </c>
      <c r="J2" s="5" t="inlineStr">
        <is>
          <t>J2</t>
        </is>
      </c>
      <c r="K2" s="6" t="n">
        <v>45936</v>
      </c>
    </row>
    <row r="3">
      <c r="A3" t="inlineStr">
        <is>
          <t>Sergi Maestre</t>
        </is>
      </c>
      <c r="B3" t="n">
        <v>370000</v>
      </c>
      <c r="C3" t="inlineStr">
        <is>
          <t>Nico Melamed</t>
        </is>
      </c>
      <c r="D3" s="7" t="n">
        <v>8000000</v>
      </c>
      <c r="E3" t="inlineStr">
        <is>
          <t>Sergi Maestre</t>
        </is>
      </c>
      <c r="F3" s="7" t="n">
        <v>348200</v>
      </c>
      <c r="G3" s="2" t="n"/>
      <c r="I3" s="9" t="n">
        <v>1110000</v>
      </c>
      <c r="J3" t="inlineStr">
        <is>
          <t>J3</t>
        </is>
      </c>
    </row>
    <row r="4">
      <c r="A4" t="inlineStr">
        <is>
          <t>Javi Moreno</t>
        </is>
      </c>
      <c r="B4" t="n">
        <v>280000</v>
      </c>
      <c r="C4" t="inlineStr">
        <is>
          <t>Marc-Olivier Doué</t>
        </is>
      </c>
      <c r="D4" s="7" t="n">
        <v>1300000</v>
      </c>
      <c r="E4" t="inlineStr">
        <is>
          <t>Javi Moreno</t>
        </is>
      </c>
      <c r="F4" s="7" t="n">
        <v>271400</v>
      </c>
      <c r="G4" s="2" t="inlineStr">
        <is>
          <t>Ingresado Total</t>
        </is>
      </c>
      <c r="H4" t="inlineStr">
        <is>
          <t>Beneficio Total Jornadas</t>
        </is>
      </c>
      <c r="I4" s="9">
        <f>470000+232000</f>
        <v/>
      </c>
      <c r="J4" s="5" t="inlineStr">
        <is>
          <t>J4</t>
        </is>
      </c>
      <c r="K4" t="inlineStr">
        <is>
          <t>Compras</t>
        </is>
      </c>
      <c r="L4" s="5">
        <f>COUNT('Mompia FC'!#REF!)+1</f>
        <v/>
      </c>
    </row>
    <row r="5">
      <c r="A5" t="inlineStr">
        <is>
          <t>Moussa Diarra</t>
        </is>
      </c>
      <c r="B5" t="n">
        <v>210000</v>
      </c>
      <c r="C5" t="inlineStr">
        <is>
          <t>Keidi Bare</t>
        </is>
      </c>
      <c r="D5" s="7" t="n">
        <v>1300000</v>
      </c>
      <c r="E5" t="inlineStr">
        <is>
          <t>Moussa Diarra</t>
        </is>
      </c>
      <c r="F5" s="7" t="n">
        <v>207000</v>
      </c>
      <c r="G5" s="8">
        <f>SUM(F:F)</f>
        <v/>
      </c>
      <c r="H5" s="8">
        <f>SUM('Mompia FC'!$I$2:$I$7)</f>
        <v/>
      </c>
      <c r="I5" s="9" t="n">
        <v>1370000</v>
      </c>
      <c r="J5" t="inlineStr">
        <is>
          <t>J5</t>
        </is>
      </c>
      <c r="K5" t="inlineStr">
        <is>
          <t>Ventas</t>
        </is>
      </c>
      <c r="L5" s="5">
        <f>COUNT('Mompia FC'!$F$2:$F$27)+1</f>
        <v/>
      </c>
    </row>
    <row r="6">
      <c r="A6" t="inlineStr">
        <is>
          <t>Albert Lottin</t>
        </is>
      </c>
      <c r="B6" t="n">
        <v>640000</v>
      </c>
      <c r="C6" t="inlineStr">
        <is>
          <t>Ibrahima Koné</t>
        </is>
      </c>
      <c r="D6" s="7" t="n">
        <v>1750000</v>
      </c>
      <c r="E6" t="inlineStr">
        <is>
          <t>Marc-Olivier Doué</t>
        </is>
      </c>
      <c r="F6" s="7" t="n">
        <v>938100</v>
      </c>
      <c r="I6" s="9" t="n">
        <v>1330000</v>
      </c>
      <c r="J6" s="5" t="inlineStr">
        <is>
          <t>J6</t>
        </is>
      </c>
    </row>
    <row r="7">
      <c r="A7" t="inlineStr">
        <is>
          <t>Carlos Marín</t>
        </is>
      </c>
      <c r="B7" t="n">
        <v>3630000</v>
      </c>
      <c r="C7" t="inlineStr">
        <is>
          <t>Jeremy Arévalo</t>
        </is>
      </c>
      <c r="D7" s="7" t="n">
        <v>300000</v>
      </c>
      <c r="E7" t="inlineStr">
        <is>
          <t>Keidi Bare</t>
        </is>
      </c>
      <c r="F7" s="7" t="n">
        <v>938300</v>
      </c>
      <c r="G7" s="2" t="inlineStr">
        <is>
          <t>Saldo Inicial</t>
        </is>
      </c>
      <c r="H7" t="inlineStr">
        <is>
          <t>Beneficio</t>
        </is>
      </c>
      <c r="I7" s="9" t="n">
        <v>980000</v>
      </c>
      <c r="J7" t="inlineStr">
        <is>
          <t>J7</t>
        </is>
      </c>
    </row>
    <row r="8">
      <c r="A8" t="inlineStr">
        <is>
          <t>Anaitz Arbilla</t>
        </is>
      </c>
      <c r="B8" t="n">
        <v>1700000</v>
      </c>
      <c r="C8" t="inlineStr">
        <is>
          <t>Xavi Sintes</t>
        </is>
      </c>
      <c r="D8" s="7" t="n">
        <v>1400000</v>
      </c>
      <c r="E8" t="inlineStr">
        <is>
          <t>Albert Lottin</t>
        </is>
      </c>
      <c r="F8" s="7" t="n">
        <v>531800</v>
      </c>
      <c r="G8" s="8" t="n">
        <v>18740000</v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Sergio Escudero</t>
        </is>
      </c>
      <c r="B9" t="n">
        <v>1320000</v>
      </c>
      <c r="C9" t="inlineStr">
        <is>
          <t>Keidi Bare</t>
        </is>
      </c>
      <c r="D9" s="7" t="n">
        <v>1500000</v>
      </c>
      <c r="E9" t="inlineStr">
        <is>
          <t>Sergio Rodelas</t>
        </is>
      </c>
      <c r="F9" s="7" t="n">
        <v>487400</v>
      </c>
      <c r="J9" t="inlineStr">
        <is>
          <t>J9</t>
        </is>
      </c>
    </row>
    <row r="10">
      <c r="A10" t="inlineStr">
        <is>
          <t>Jonathan Gómez</t>
        </is>
      </c>
      <c r="B10" t="n">
        <v>2100000</v>
      </c>
      <c r="C10" t="inlineStr">
        <is>
          <t>Théo Zidane</t>
        </is>
      </c>
      <c r="D10" s="7" t="n">
        <v>2500000</v>
      </c>
      <c r="E10" t="inlineStr">
        <is>
          <t>Ibrahima Koné</t>
        </is>
      </c>
      <c r="F10" s="7" t="n">
        <v>1130100</v>
      </c>
      <c r="G10" t="inlineStr">
        <is>
          <t>Ofrecer</t>
        </is>
      </c>
      <c r="J10" s="5" t="inlineStr">
        <is>
          <t>J10</t>
        </is>
      </c>
    </row>
    <row r="11">
      <c r="A11" t="inlineStr">
        <is>
          <t>Yeray Cabanzón</t>
        </is>
      </c>
      <c r="B11" t="n">
        <v>2190000</v>
      </c>
      <c r="C11" t="inlineStr">
        <is>
          <t>Pablo Ramón</t>
        </is>
      </c>
      <c r="D11" s="7" t="n">
        <v>3500000</v>
      </c>
      <c r="E11" t="inlineStr">
        <is>
          <t>Álex Lizancos</t>
        </is>
      </c>
      <c r="F11" s="7" t="n">
        <v>687900</v>
      </c>
      <c r="G11" s="9">
        <f>G14+H2/4</f>
        <v/>
      </c>
      <c r="J11" t="inlineStr">
        <is>
          <t>J11</t>
        </is>
      </c>
    </row>
    <row r="12">
      <c r="A12" t="inlineStr">
        <is>
          <t>Alberto del Moral</t>
        </is>
      </c>
      <c r="B12" t="n">
        <v>1420000</v>
      </c>
      <c r="C12" t="inlineStr">
        <is>
          <t>Kazunari Kita</t>
        </is>
      </c>
      <c r="D12" s="7" t="n">
        <v>200000</v>
      </c>
      <c r="E12" t="inlineStr">
        <is>
          <t>Alberto del Moral</t>
        </is>
      </c>
      <c r="F12" s="7" t="n">
        <v>1000300</v>
      </c>
      <c r="J12" s="5" t="inlineStr">
        <is>
          <t>J12</t>
        </is>
      </c>
    </row>
    <row r="13">
      <c r="A13" t="inlineStr">
        <is>
          <t>Pedro Ortiz</t>
        </is>
      </c>
      <c r="B13" t="n">
        <v>2630000</v>
      </c>
      <c r="C13" t="inlineStr">
        <is>
          <t>Íñigo Sainz-Maza</t>
        </is>
      </c>
      <c r="D13" s="7" t="n">
        <v>2000000</v>
      </c>
      <c r="E13" t="inlineStr">
        <is>
          <t>Jonathan Gómez</t>
        </is>
      </c>
      <c r="F13" s="7" t="n">
        <v>1706500</v>
      </c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Stipe Biuk</t>
        </is>
      </c>
      <c r="B14" t="n">
        <v>2380000</v>
      </c>
      <c r="C14" t="inlineStr">
        <is>
          <t>Álvaro Rodríguez</t>
        </is>
      </c>
      <c r="D14" s="7" t="n">
        <v>2710000</v>
      </c>
      <c r="E14" t="inlineStr">
        <is>
          <t>Théo Zidane</t>
        </is>
      </c>
      <c r="F14" s="7" t="n">
        <v>1877500</v>
      </c>
      <c r="G14" s="9">
        <f>G8+G5-G2+H5</f>
        <v/>
      </c>
      <c r="J14" s="5" t="inlineStr">
        <is>
          <t>J14</t>
        </is>
      </c>
    </row>
    <row r="15">
      <c r="A15" t="inlineStr">
        <is>
          <t>García Pascual</t>
        </is>
      </c>
      <c r="B15" t="n">
        <v>1480000</v>
      </c>
      <c r="C15" t="inlineStr">
        <is>
          <t>Jon Morcillo</t>
        </is>
      </c>
      <c r="D15" s="7" t="n">
        <v>8000000</v>
      </c>
      <c r="E15" t="inlineStr">
        <is>
          <t>Kazunari Kita</t>
        </is>
      </c>
      <c r="F15" s="7" t="n">
        <v>166700</v>
      </c>
      <c r="J15" t="inlineStr">
        <is>
          <t>J15</t>
        </is>
      </c>
    </row>
    <row r="16">
      <c r="A16" t="inlineStr">
        <is>
          <t>Sergio Rodelas</t>
        </is>
      </c>
      <c r="B16" t="n">
        <v>580000</v>
      </c>
      <c r="C16" t="inlineStr">
        <is>
          <t>Mathis Lachuer</t>
        </is>
      </c>
      <c r="D16" s="7" t="n">
        <v>6200000</v>
      </c>
      <c r="E16" t="inlineStr">
        <is>
          <t>Pedro Ortiz</t>
        </is>
      </c>
      <c r="F16" s="7" t="n">
        <v>1748500</v>
      </c>
      <c r="J16" s="5" t="inlineStr">
        <is>
          <t>J16</t>
        </is>
      </c>
    </row>
    <row r="17">
      <c r="B17" s="5">
        <f>SUM(B2:B16)</f>
        <v/>
      </c>
      <c r="C17" s="5" t="inlineStr">
        <is>
          <t>Aarón Ochoa</t>
        </is>
      </c>
      <c r="D17" s="7" t="n">
        <v>600000</v>
      </c>
      <c r="E17" t="inlineStr">
        <is>
          <t>Keidi Bare</t>
        </is>
      </c>
      <c r="F17" s="7" t="n">
        <v>701500</v>
      </c>
      <c r="J17" t="inlineStr">
        <is>
          <t>J17</t>
        </is>
      </c>
    </row>
    <row r="18">
      <c r="C18" t="inlineStr">
        <is>
          <t>Toni Abad</t>
        </is>
      </c>
      <c r="D18" s="7" t="n">
        <v>980000</v>
      </c>
      <c r="E18" t="inlineStr">
        <is>
          <t>Íñigo Sainz-Maza</t>
        </is>
      </c>
      <c r="F18" s="7" t="n">
        <v>868500</v>
      </c>
      <c r="J18" s="5" t="inlineStr">
        <is>
          <t>J18</t>
        </is>
      </c>
    </row>
    <row r="19">
      <c r="C19" t="inlineStr">
        <is>
          <t>Astiazaran</t>
        </is>
      </c>
      <c r="D19" s="7" t="n">
        <v>2800000</v>
      </c>
      <c r="E19" t="inlineStr">
        <is>
          <t>Yeray Cabanzón</t>
        </is>
      </c>
      <c r="F19" s="7" t="n">
        <v>2523900</v>
      </c>
      <c r="J19" t="inlineStr">
        <is>
          <t>J19</t>
        </is>
      </c>
    </row>
    <row r="20">
      <c r="C20" t="inlineStr">
        <is>
          <t>Manu Hernando</t>
        </is>
      </c>
      <c r="D20" s="7" t="n">
        <v>3550000</v>
      </c>
      <c r="E20" t="inlineStr">
        <is>
          <t>Xavi Sintes</t>
        </is>
      </c>
      <c r="F20" s="7" t="n">
        <v>1486800</v>
      </c>
      <c r="J20" s="5" t="inlineStr">
        <is>
          <t>J20</t>
        </is>
      </c>
    </row>
    <row r="21">
      <c r="C21" t="inlineStr">
        <is>
          <t>Egoitz Arana</t>
        </is>
      </c>
      <c r="D21" s="7" t="n">
        <v>350000</v>
      </c>
      <c r="E21" t="inlineStr">
        <is>
          <t>García Pascual</t>
        </is>
      </c>
      <c r="F21" s="7" t="n">
        <v>3700000</v>
      </c>
      <c r="J21" t="inlineStr">
        <is>
          <t>J21</t>
        </is>
      </c>
    </row>
    <row r="22">
      <c r="C22" t="inlineStr">
        <is>
          <t>Plamen Andreev</t>
        </is>
      </c>
      <c r="D22" s="7" t="n">
        <v>2000000</v>
      </c>
      <c r="E22" t="inlineStr">
        <is>
          <t>Carlos Marín</t>
        </is>
      </c>
      <c r="F22" s="7" t="n">
        <v>3485300</v>
      </c>
      <c r="J22" s="5" t="inlineStr">
        <is>
          <t>J22</t>
        </is>
      </c>
    </row>
    <row r="23">
      <c r="E23" t="inlineStr">
        <is>
          <t>Álvaro Rodríguez</t>
        </is>
      </c>
      <c r="F23" s="7" t="n">
        <v>1911300</v>
      </c>
      <c r="J23" t="inlineStr">
        <is>
          <t>J23</t>
        </is>
      </c>
    </row>
    <row r="24">
      <c r="E24" t="inlineStr">
        <is>
          <t>Aarón Ochoa</t>
        </is>
      </c>
      <c r="F24" s="7" t="n">
        <v>382200</v>
      </c>
      <c r="J24" s="5" t="inlineStr">
        <is>
          <t>J24</t>
        </is>
      </c>
    </row>
    <row r="25">
      <c r="E25" t="inlineStr">
        <is>
          <t>Sergio Escudero</t>
        </is>
      </c>
      <c r="F25" s="7" t="n">
        <v>2764900</v>
      </c>
      <c r="J25" t="inlineStr">
        <is>
          <t>J25</t>
        </is>
      </c>
    </row>
    <row r="26">
      <c r="E26" t="inlineStr">
        <is>
          <t>Astiazaran</t>
        </is>
      </c>
      <c r="F26" s="7" t="n">
        <v>2121200</v>
      </c>
      <c r="J26" s="5" t="inlineStr">
        <is>
          <t>J26</t>
        </is>
      </c>
    </row>
    <row r="27">
      <c r="E27" t="inlineStr">
        <is>
          <t>Egoitz Arana</t>
        </is>
      </c>
      <c r="F27" s="7" t="n">
        <v>219700</v>
      </c>
      <c r="J27" t="inlineStr">
        <is>
          <t>J27</t>
        </is>
      </c>
    </row>
    <row r="28">
      <c r="E28" t="inlineStr">
        <is>
          <t>Sergio Escudero</t>
        </is>
      </c>
      <c r="F28" t="n">
        <v>2764900</v>
      </c>
      <c r="J28" s="5" t="inlineStr">
        <is>
          <t>J28</t>
        </is>
      </c>
    </row>
    <row r="29">
      <c r="E29" t="inlineStr">
        <is>
          <t>Astiazaran</t>
        </is>
      </c>
      <c r="F29" t="n">
        <v>2121200</v>
      </c>
      <c r="J29" t="inlineStr">
        <is>
          <t>J29</t>
        </is>
      </c>
    </row>
    <row r="30">
      <c r="E30" t="inlineStr">
        <is>
          <t>Sergio Escudero</t>
        </is>
      </c>
      <c r="F30" t="n">
        <v>2764900</v>
      </c>
      <c r="J30" s="5" t="inlineStr">
        <is>
          <t>J30</t>
        </is>
      </c>
    </row>
    <row r="31">
      <c r="E31" t="inlineStr">
        <is>
          <t>Astiazaran</t>
        </is>
      </c>
      <c r="F31" t="n">
        <v>2121200</v>
      </c>
      <c r="J31" t="inlineStr">
        <is>
          <t>J31</t>
        </is>
      </c>
    </row>
    <row r="32">
      <c r="E32" t="inlineStr">
        <is>
          <t>Sergio Escudero</t>
        </is>
      </c>
      <c r="F32" t="n">
        <v>2764900</v>
      </c>
      <c r="J32" s="5" t="inlineStr">
        <is>
          <t>J32</t>
        </is>
      </c>
    </row>
    <row r="33">
      <c r="E33" t="inlineStr">
        <is>
          <t>Sergio Escudero</t>
        </is>
      </c>
      <c r="F33" t="n">
        <v>2121200</v>
      </c>
      <c r="J33" t="inlineStr">
        <is>
          <t>J33</t>
        </is>
      </c>
    </row>
    <row r="34">
      <c r="E34" t="inlineStr">
        <is>
          <t>Sergio Escudero</t>
        </is>
      </c>
      <c r="F34" t="n">
        <v>2764900</v>
      </c>
      <c r="J34" s="5" t="inlineStr">
        <is>
          <t>J34</t>
        </is>
      </c>
    </row>
    <row r="35">
      <c r="E35" t="inlineStr">
        <is>
          <t>Astiazaran</t>
        </is>
      </c>
      <c r="F35" t="n">
        <v>2121200</v>
      </c>
      <c r="J35" t="inlineStr">
        <is>
          <t>J35</t>
        </is>
      </c>
    </row>
    <row r="36">
      <c r="E36" t="inlineStr">
        <is>
          <t>Sergio Escudero</t>
        </is>
      </c>
      <c r="J36" s="5" t="inlineStr">
        <is>
          <t>J36</t>
        </is>
      </c>
    </row>
    <row r="37">
      <c r="E37" t="inlineStr">
        <is>
          <t>Astiazaran</t>
        </is>
      </c>
      <c r="J37" t="inlineStr">
        <is>
          <t>J37</t>
        </is>
      </c>
    </row>
    <row r="38">
      <c r="J38" s="5" t="inlineStr">
        <is>
          <t>J38</t>
        </is>
      </c>
    </row>
    <row r="39">
      <c r="J39" t="inlineStr">
        <is>
          <t>J39</t>
        </is>
      </c>
    </row>
    <row r="40">
      <c r="J40" s="5" t="inlineStr">
        <is>
          <t>J40</t>
        </is>
      </c>
    </row>
    <row r="41">
      <c r="J41" t="inlineStr">
        <is>
          <t>J41</t>
        </is>
      </c>
    </row>
    <row r="42">
      <c r="J42" s="5" t="inlineStr">
        <is>
          <t>J42</t>
        </is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D23" sqref="D23"/>
    </sheetView>
  </sheetViews>
  <sheetFormatPr baseColWidth="10" defaultRowHeight="12.5"/>
  <cols>
    <col hidden="1" width="17.54296875" customWidth="1" min="1" max="1"/>
    <col hidden="1" width="10.90625" customWidth="1" min="2" max="2"/>
    <col width="15.6328125" bestFit="1" customWidth="1" min="3" max="3"/>
    <col width="12.36328125" bestFit="1" customWidth="1" style="3" min="4" max="4"/>
    <col width="17.54296875" bestFit="1" customWidth="1" min="5" max="5"/>
    <col width="13.7265625" bestFit="1" customWidth="1" style="3" min="6" max="6"/>
    <col width="14" bestFit="1" customWidth="1" min="7" max="7"/>
    <col width="21.81640625" bestFit="1" customWidth="1" min="8" max="8"/>
    <col width="14.1796875" bestFit="1" customWidth="1" style="4" min="9" max="9"/>
    <col width="2.54296875" bestFit="1" customWidth="1" min="10" max="10"/>
    <col width="18.36328125" bestFit="1" customWidth="1" min="11" max="11"/>
    <col width="10.90625" customWidth="1" min="12" max="12"/>
  </cols>
  <sheetData>
    <row r="1"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4" t="inlineStr">
        <is>
          <t>Beneficio J</t>
        </is>
      </c>
      <c r="J1" s="5" t="n"/>
      <c r="K1" s="4" t="inlineStr">
        <is>
          <t>Ultima Actualización</t>
        </is>
      </c>
      <c r="L1" s="10">
        <f>TODAY()</f>
        <v/>
      </c>
    </row>
    <row r="2">
      <c r="A2" t="inlineStr">
        <is>
          <t>Suleiman Camara</t>
        </is>
      </c>
      <c r="B2" t="n">
        <v>460000</v>
      </c>
      <c r="C2" t="inlineStr">
        <is>
          <t>Pau Sans</t>
        </is>
      </c>
      <c r="D2" s="7" t="n">
        <v>1800000</v>
      </c>
      <c r="E2" t="inlineStr">
        <is>
          <t>Suleiman Camara</t>
        </is>
      </c>
      <c r="F2" s="7" t="n">
        <v>430700</v>
      </c>
      <c r="G2" s="8">
        <f>SUM(D:D)</f>
        <v/>
      </c>
      <c r="H2" s="9" t="n">
        <v>38560000</v>
      </c>
      <c r="I2" s="9" t="n">
        <v>710000</v>
      </c>
      <c r="J2" s="5" t="inlineStr">
        <is>
          <t>J2</t>
        </is>
      </c>
      <c r="K2" s="6" t="n">
        <v>45936</v>
      </c>
    </row>
    <row r="3">
      <c r="A3" t="inlineStr">
        <is>
          <t>Alejandro Meléndez</t>
        </is>
      </c>
      <c r="B3" t="n">
        <v>590000</v>
      </c>
      <c r="C3" t="inlineStr">
        <is>
          <t>Melero</t>
        </is>
      </c>
      <c r="D3" s="7" t="n">
        <v>3950000</v>
      </c>
      <c r="E3" t="inlineStr">
        <is>
          <t>Alejandro Meléndez</t>
        </is>
      </c>
      <c r="F3" s="7" t="n">
        <v>558300</v>
      </c>
      <c r="G3" s="2" t="n"/>
      <c r="I3" s="9" t="n">
        <v>1010000</v>
      </c>
      <c r="J3" t="inlineStr">
        <is>
          <t>J3</t>
        </is>
      </c>
    </row>
    <row r="4">
      <c r="A4" t="inlineStr">
        <is>
          <t>Bicho</t>
        </is>
      </c>
      <c r="B4" t="n">
        <v>920000</v>
      </c>
      <c r="C4" t="inlineStr">
        <is>
          <t>Manuel Fuster</t>
        </is>
      </c>
      <c r="D4" s="7" t="n">
        <v>7300000</v>
      </c>
      <c r="E4" t="inlineStr">
        <is>
          <t>Bicho</t>
        </is>
      </c>
      <c r="F4" s="7" t="n">
        <v>1200000</v>
      </c>
      <c r="G4" s="2" t="inlineStr">
        <is>
          <t>Ingresado Total</t>
        </is>
      </c>
      <c r="H4" s="2" t="inlineStr">
        <is>
          <t>Beneficio Total Jornadas</t>
        </is>
      </c>
      <c r="I4" s="9" t="n">
        <v>1030000</v>
      </c>
      <c r="J4" s="5" t="inlineStr">
        <is>
          <t>J4</t>
        </is>
      </c>
      <c r="K4" t="inlineStr">
        <is>
          <t>Compras</t>
        </is>
      </c>
      <c r="L4" s="5">
        <f>COUNT('La Piñera'!$D$2:$D$19)</f>
        <v/>
      </c>
    </row>
    <row r="5">
      <c r="A5" t="inlineStr">
        <is>
          <t>Fernando Martinez</t>
        </is>
      </c>
      <c r="B5" t="n">
        <v>1880000</v>
      </c>
      <c r="C5" t="inlineStr">
        <is>
          <t>Alfonso Herrero</t>
        </is>
      </c>
      <c r="D5" s="7" t="n">
        <v>5700000</v>
      </c>
      <c r="E5" t="inlineStr">
        <is>
          <t>Fernando Martinez</t>
        </is>
      </c>
      <c r="F5" s="7" t="n">
        <v>1811900</v>
      </c>
      <c r="G5" s="8">
        <f>SUM(F:F)</f>
        <v/>
      </c>
      <c r="H5" s="8">
        <f>SUM('La Piñera'!$I$2:$I$7)</f>
        <v/>
      </c>
      <c r="I5" s="9" t="n">
        <v>890000</v>
      </c>
      <c r="J5" t="inlineStr">
        <is>
          <t>J5</t>
        </is>
      </c>
      <c r="K5" t="inlineStr">
        <is>
          <t>Ventas</t>
        </is>
      </c>
      <c r="L5" s="5">
        <f>COUNT('La Piñera'!$F$2:$F$22)</f>
        <v/>
      </c>
    </row>
    <row r="6">
      <c r="A6" t="inlineStr">
        <is>
          <t>Pablo Pérez</t>
        </is>
      </c>
      <c r="B6" t="n">
        <v>720000</v>
      </c>
      <c r="C6" t="inlineStr">
        <is>
          <t>Eric Curbelo</t>
        </is>
      </c>
      <c r="D6" s="7" t="n">
        <v>1050000</v>
      </c>
      <c r="E6" t="inlineStr">
        <is>
          <t>Pablo Pérez</t>
        </is>
      </c>
      <c r="F6" s="7" t="n">
        <v>678100</v>
      </c>
      <c r="H6" s="2" t="n"/>
      <c r="I6" s="9" t="n">
        <v>1260000</v>
      </c>
      <c r="J6" s="5" t="inlineStr">
        <is>
          <t>J6</t>
        </is>
      </c>
    </row>
    <row r="7">
      <c r="A7" t="inlineStr">
        <is>
          <t>Raúl Lizoain</t>
        </is>
      </c>
      <c r="B7" t="n">
        <v>1770000</v>
      </c>
      <c r="C7" t="inlineStr">
        <is>
          <t>Iker Kortajarena</t>
        </is>
      </c>
      <c r="D7" s="7" t="n">
        <v>4401000</v>
      </c>
      <c r="E7" t="inlineStr">
        <is>
          <t>Raúl Lizoain</t>
        </is>
      </c>
      <c r="F7" s="7" t="n">
        <v>1686200</v>
      </c>
      <c r="G7" s="2" t="inlineStr">
        <is>
          <t>Saldo Inicial</t>
        </is>
      </c>
      <c r="H7" t="inlineStr">
        <is>
          <t>Beneficio</t>
        </is>
      </c>
      <c r="I7" s="9" t="n">
        <v>1030000</v>
      </c>
      <c r="J7" t="inlineStr">
        <is>
          <t>J7</t>
        </is>
      </c>
    </row>
    <row r="8">
      <c r="A8" t="inlineStr">
        <is>
          <t>Ro Abajas</t>
        </is>
      </c>
      <c r="B8" t="n">
        <v>200000</v>
      </c>
      <c r="C8" t="inlineStr">
        <is>
          <t>Xavi Moreno</t>
        </is>
      </c>
      <c r="D8" s="7" t="n">
        <v>320000</v>
      </c>
      <c r="E8" t="inlineStr">
        <is>
          <t>Ro Abajas</t>
        </is>
      </c>
      <c r="F8" s="7" t="n">
        <v>204200</v>
      </c>
      <c r="G8" s="8" t="n">
        <v>18820000</v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Ibrahima Koné</t>
        </is>
      </c>
      <c r="B9" t="n">
        <v>1540000</v>
      </c>
      <c r="C9" t="inlineStr">
        <is>
          <t>Rodri Suárez</t>
        </is>
      </c>
      <c r="D9" s="7" t="n">
        <v>950000</v>
      </c>
      <c r="E9" t="inlineStr">
        <is>
          <t>Ibrahima Koné</t>
        </is>
      </c>
      <c r="F9" s="7" t="n">
        <v>1750000</v>
      </c>
      <c r="J9" t="inlineStr">
        <is>
          <t>J9</t>
        </is>
      </c>
    </row>
    <row r="10">
      <c r="A10" t="inlineStr">
        <is>
          <t>Mikel Rodriguez</t>
        </is>
      </c>
      <c r="B10" t="n">
        <v>850000</v>
      </c>
      <c r="C10" t="inlineStr">
        <is>
          <t>José Ángel Jurado</t>
        </is>
      </c>
      <c r="D10" s="7" t="n">
        <v>1280000</v>
      </c>
      <c r="E10" t="inlineStr">
        <is>
          <t>Mikel Rodriguez</t>
        </is>
      </c>
      <c r="F10" s="7" t="n">
        <v>844300</v>
      </c>
      <c r="G10" s="2" t="inlineStr">
        <is>
          <t>Ofrecer</t>
        </is>
      </c>
      <c r="J10" s="5" t="inlineStr">
        <is>
          <t>J10</t>
        </is>
      </c>
    </row>
    <row r="11">
      <c r="A11" t="inlineStr">
        <is>
          <t>Quique Fornos</t>
        </is>
      </c>
      <c r="B11" t="n">
        <v>650000</v>
      </c>
      <c r="C11" t="inlineStr">
        <is>
          <t>Dani Escriche</t>
        </is>
      </c>
      <c r="D11" s="7" t="n">
        <v>2000000</v>
      </c>
      <c r="E11" t="inlineStr">
        <is>
          <t>Quique Fornos</t>
        </is>
      </c>
      <c r="F11" s="7" t="n">
        <v>551400</v>
      </c>
      <c r="G11" s="9">
        <f>G14+H2/4</f>
        <v/>
      </c>
      <c r="J11" t="inlineStr">
        <is>
          <t>J11</t>
        </is>
      </c>
    </row>
    <row r="12">
      <c r="A12" t="inlineStr">
        <is>
          <t>Anderson Arroyo</t>
        </is>
      </c>
      <c r="B12" t="n">
        <v>2920000</v>
      </c>
      <c r="C12" t="inlineStr">
        <is>
          <t>Agustín Sienra</t>
        </is>
      </c>
      <c r="D12" s="7" t="n">
        <v>899010</v>
      </c>
      <c r="E12" t="inlineStr">
        <is>
          <t>José Arnaiz</t>
        </is>
      </c>
      <c r="F12" s="7" t="n">
        <v>2516300</v>
      </c>
      <c r="J12" s="5" t="inlineStr">
        <is>
          <t>J12</t>
        </is>
      </c>
    </row>
    <row r="13">
      <c r="A13" t="inlineStr">
        <is>
          <t>Víctor García</t>
        </is>
      </c>
      <c r="B13" t="n">
        <v>740000</v>
      </c>
      <c r="C13" t="inlineStr">
        <is>
          <t>Fer Niño</t>
        </is>
      </c>
      <c r="D13" s="7" t="n">
        <v>7211000</v>
      </c>
      <c r="E13" t="inlineStr">
        <is>
          <t>Melero</t>
        </is>
      </c>
      <c r="F13" s="7" t="n">
        <v>2891400</v>
      </c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Hongla</t>
        </is>
      </c>
      <c r="B14" t="n">
        <v>2250000</v>
      </c>
      <c r="C14" t="inlineStr">
        <is>
          <t>Jorge Pulido</t>
        </is>
      </c>
      <c r="D14" s="7" t="n">
        <v>5524000</v>
      </c>
      <c r="E14" t="inlineStr">
        <is>
          <t>Anderson Arroyo</t>
        </is>
      </c>
      <c r="F14" s="7" t="n">
        <v>3800000</v>
      </c>
      <c r="G14" s="9">
        <f>G8+G5-G2+H5</f>
        <v/>
      </c>
      <c r="J14" s="5" t="inlineStr">
        <is>
          <t>J14</t>
        </is>
      </c>
    </row>
    <row r="15">
      <c r="A15" t="inlineStr">
        <is>
          <t>Víctor Meseguer</t>
        </is>
      </c>
      <c r="B15" t="n">
        <v>2450000</v>
      </c>
      <c r="C15" t="inlineStr">
        <is>
          <t>Jan Salas</t>
        </is>
      </c>
      <c r="D15" s="7" t="n">
        <v>545000</v>
      </c>
      <c r="E15" t="inlineStr">
        <is>
          <t>Eric Curbelo</t>
        </is>
      </c>
      <c r="F15" s="7" t="n">
        <v>885400</v>
      </c>
      <c r="J15" t="inlineStr">
        <is>
          <t>J15</t>
        </is>
      </c>
    </row>
    <row r="16">
      <c r="A16" t="inlineStr">
        <is>
          <t>José Arnaiz</t>
        </is>
      </c>
      <c r="B16" t="n">
        <v>3240000</v>
      </c>
      <c r="C16" t="inlineStr">
        <is>
          <t>David Mella</t>
        </is>
      </c>
      <c r="D16" s="7" t="n">
        <v>4550000</v>
      </c>
      <c r="E16" t="inlineStr">
        <is>
          <t>Xavi Moreno</t>
        </is>
      </c>
      <c r="F16" s="7" t="n">
        <v>334700</v>
      </c>
      <c r="J16" s="5" t="inlineStr">
        <is>
          <t>J16</t>
        </is>
      </c>
    </row>
    <row r="17">
      <c r="B17" s="5">
        <f>SUM(B2:B16)</f>
        <v/>
      </c>
      <c r="C17" s="5" t="inlineStr">
        <is>
          <t>Facundo González</t>
        </is>
      </c>
      <c r="D17" s="7" t="n">
        <v>2170001</v>
      </c>
      <c r="E17" t="inlineStr">
        <is>
          <t>José Ángel Jurado</t>
        </is>
      </c>
      <c r="F17" s="7" t="n">
        <v>1097700</v>
      </c>
      <c r="J17" t="inlineStr">
        <is>
          <t>J17</t>
        </is>
      </c>
    </row>
    <row r="18">
      <c r="C18" t="inlineStr">
        <is>
          <t>Martí Vilà</t>
        </is>
      </c>
      <c r="D18" s="7" t="n">
        <v>200010</v>
      </c>
      <c r="E18" t="inlineStr">
        <is>
          <t>Agustín Sienra</t>
        </is>
      </c>
      <c r="F18" s="7" t="n">
        <v>743500</v>
      </c>
      <c r="J18" s="5" t="inlineStr">
        <is>
          <t>J18</t>
        </is>
      </c>
    </row>
    <row r="19">
      <c r="C19" t="inlineStr">
        <is>
          <t>José Lazo</t>
        </is>
      </c>
      <c r="D19" s="7" t="n">
        <v>601000</v>
      </c>
      <c r="E19" t="inlineStr">
        <is>
          <t>Hongla</t>
        </is>
      </c>
      <c r="F19" s="7" t="n">
        <v>2366600</v>
      </c>
      <c r="J19" t="inlineStr">
        <is>
          <t>J19</t>
        </is>
      </c>
    </row>
    <row r="20">
      <c r="E20" t="inlineStr">
        <is>
          <t>Pau Sans</t>
        </is>
      </c>
      <c r="F20" s="7" t="n">
        <v>1500000</v>
      </c>
      <c r="J20" s="5" t="inlineStr">
        <is>
          <t>J20</t>
        </is>
      </c>
    </row>
    <row r="21">
      <c r="E21" t="inlineStr">
        <is>
          <t>Jan Salas</t>
        </is>
      </c>
      <c r="F21" s="7" t="n">
        <v>485900</v>
      </c>
      <c r="J21" t="inlineStr">
        <is>
          <t>J21</t>
        </is>
      </c>
    </row>
    <row r="22">
      <c r="E22" t="inlineStr">
        <is>
          <t>Víctor García</t>
        </is>
      </c>
      <c r="F22" s="7" t="n">
        <v>803800</v>
      </c>
      <c r="J22" s="5" t="inlineStr">
        <is>
          <t>J22</t>
        </is>
      </c>
    </row>
    <row r="23">
      <c r="J23" t="inlineStr">
        <is>
          <t>J23</t>
        </is>
      </c>
    </row>
    <row r="24">
      <c r="J24" s="5" t="inlineStr">
        <is>
          <t>J24</t>
        </is>
      </c>
    </row>
    <row r="25">
      <c r="J25" t="inlineStr">
        <is>
          <t>J25</t>
        </is>
      </c>
    </row>
    <row r="26">
      <c r="J26" s="5" t="inlineStr">
        <is>
          <t>J26</t>
        </is>
      </c>
    </row>
    <row r="27">
      <c r="J27" t="inlineStr">
        <is>
          <t>J27</t>
        </is>
      </c>
    </row>
    <row r="28">
      <c r="J28" s="5" t="inlineStr">
        <is>
          <t>J28</t>
        </is>
      </c>
    </row>
    <row r="29">
      <c r="J29" t="inlineStr">
        <is>
          <t>J29</t>
        </is>
      </c>
    </row>
    <row r="30">
      <c r="J30" s="5" t="inlineStr">
        <is>
          <t>J30</t>
        </is>
      </c>
    </row>
    <row r="31">
      <c r="J31" t="inlineStr">
        <is>
          <t>J31</t>
        </is>
      </c>
    </row>
    <row r="32">
      <c r="J32" s="5" t="inlineStr">
        <is>
          <t>J32</t>
        </is>
      </c>
    </row>
    <row r="33">
      <c r="J33" t="inlineStr">
        <is>
          <t>J33</t>
        </is>
      </c>
    </row>
    <row r="34">
      <c r="J34" s="5" t="inlineStr">
        <is>
          <t>J34</t>
        </is>
      </c>
    </row>
    <row r="35">
      <c r="J35" t="inlineStr">
        <is>
          <t>J35</t>
        </is>
      </c>
    </row>
    <row r="36">
      <c r="J36" s="5" t="inlineStr">
        <is>
          <t>J36</t>
        </is>
      </c>
    </row>
    <row r="37">
      <c r="J37" t="inlineStr">
        <is>
          <t>J37</t>
        </is>
      </c>
    </row>
    <row r="38">
      <c r="J38" s="5" t="inlineStr">
        <is>
          <t>J38</t>
        </is>
      </c>
    </row>
    <row r="39">
      <c r="J39" t="inlineStr">
        <is>
          <t>J39</t>
        </is>
      </c>
    </row>
    <row r="40">
      <c r="J40" s="5" t="inlineStr">
        <is>
          <t>J40</t>
        </is>
      </c>
    </row>
    <row r="41">
      <c r="J41" t="inlineStr">
        <is>
          <t>J41</t>
        </is>
      </c>
    </row>
    <row r="42">
      <c r="J42" s="5" t="inlineStr">
        <is>
          <t>J42</t>
        </is>
      </c>
    </row>
  </sheetData>
  <pageMargins left="0.7000000000000001" right="0.7000000000000001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E15" sqref="E15:F19"/>
    </sheetView>
  </sheetViews>
  <sheetFormatPr baseColWidth="10" defaultRowHeight="12.5"/>
  <cols>
    <col hidden="1" width="10.90625" customWidth="1" min="1" max="2"/>
    <col width="18" bestFit="1" customWidth="1" min="3" max="3"/>
    <col width="10.90625" customWidth="1" style="16" min="4" max="4"/>
    <col width="15.6328125" bestFit="1" customWidth="1" min="5" max="5"/>
    <col width="10.90625" customWidth="1" style="16" min="6" max="6"/>
    <col width="14" bestFit="1" customWidth="1" min="7" max="7"/>
    <col width="21.81640625" bestFit="1" customWidth="1" min="8" max="8"/>
    <col width="12" bestFit="1" customWidth="1" style="4" min="9" max="9"/>
    <col width="3.54296875" bestFit="1" customWidth="1" min="10" max="10"/>
    <col width="18.36328125" bestFit="1" customWidth="1" min="11" max="11"/>
    <col width="10.90625" customWidth="1" min="12" max="12"/>
  </cols>
  <sheetData>
    <row r="1">
      <c r="A1" t="inlineStr">
        <is>
          <t>Pedro López</t>
        </is>
      </c>
      <c r="B1" s="5" t="n">
        <v>680000</v>
      </c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4" t="inlineStr">
        <is>
          <t>Beneficio J</t>
        </is>
      </c>
      <c r="J1" s="5" t="n"/>
      <c r="K1" s="4" t="inlineStr">
        <is>
          <t>Ultima Actualización</t>
        </is>
      </c>
      <c r="L1" s="10">
        <f>TODAY()</f>
        <v/>
      </c>
    </row>
    <row r="2">
      <c r="A2" t="inlineStr">
        <is>
          <t>José Antonio Caro</t>
        </is>
      </c>
      <c r="B2" s="5" t="n">
        <v>1340000</v>
      </c>
      <c r="C2" t="inlineStr">
        <is>
          <t>Alex Lebarbier</t>
        </is>
      </c>
      <c r="D2" s="7" t="n">
        <v>1900000</v>
      </c>
      <c r="E2" s="5" t="inlineStr">
        <is>
          <t>Jokin Gabilondo</t>
        </is>
      </c>
      <c r="F2" s="7" t="n">
        <v>502100</v>
      </c>
      <c r="G2" s="8">
        <f>SUM(D:D)</f>
        <v/>
      </c>
      <c r="H2" s="9" t="n">
        <v>43890000</v>
      </c>
      <c r="I2" s="9" t="n">
        <v>930000</v>
      </c>
      <c r="J2" s="5" t="inlineStr">
        <is>
          <t>J2</t>
        </is>
      </c>
      <c r="K2" s="6" t="n">
        <v>45936</v>
      </c>
    </row>
    <row r="3">
      <c r="A3" t="inlineStr">
        <is>
          <t>Fran Gámez</t>
        </is>
      </c>
      <c r="B3" s="5" t="n">
        <v>1930000</v>
      </c>
      <c r="C3" t="inlineStr">
        <is>
          <t>Antonio Puertas</t>
        </is>
      </c>
      <c r="D3" s="7" t="n">
        <v>6000000</v>
      </c>
      <c r="E3" t="inlineStr">
        <is>
          <t>José Antonio Caro</t>
        </is>
      </c>
      <c r="F3" s="7" t="n">
        <v>1295200</v>
      </c>
      <c r="G3" s="2" t="n"/>
      <c r="I3" s="9" t="n">
        <v>990000</v>
      </c>
      <c r="J3" t="inlineStr">
        <is>
          <t>J3</t>
        </is>
      </c>
    </row>
    <row r="4">
      <c r="A4" t="inlineStr">
        <is>
          <t>Imanol García</t>
        </is>
      </c>
      <c r="B4" s="5" t="n">
        <v>1750000</v>
      </c>
      <c r="C4" t="inlineStr">
        <is>
          <t>Unax Agote</t>
        </is>
      </c>
      <c r="D4" s="7" t="n">
        <v>800000</v>
      </c>
      <c r="E4" t="inlineStr">
        <is>
          <t>Weissman</t>
        </is>
      </c>
      <c r="F4" s="7" t="n">
        <v>667100</v>
      </c>
      <c r="G4" s="2" t="inlineStr">
        <is>
          <t>Ingresado Total</t>
        </is>
      </c>
      <c r="H4" t="inlineStr">
        <is>
          <t>Beneficio Total Jornadas</t>
        </is>
      </c>
      <c r="I4" s="9" t="n">
        <v>950000</v>
      </c>
      <c r="J4" s="5" t="inlineStr">
        <is>
          <t>J4</t>
        </is>
      </c>
      <c r="K4" t="inlineStr">
        <is>
          <t>Compras</t>
        </is>
      </c>
      <c r="L4" s="5">
        <f>COUNT('Costa norte'!$D$2:$D$10)</f>
        <v/>
      </c>
    </row>
    <row r="5">
      <c r="A5" t="inlineStr">
        <is>
          <t>Thomas Carrique</t>
        </is>
      </c>
      <c r="B5" s="5" t="n">
        <v>1250000</v>
      </c>
      <c r="C5" t="inlineStr">
        <is>
          <t>Iñigo Córdoba</t>
        </is>
      </c>
      <c r="D5" s="7" t="n">
        <v>2800000</v>
      </c>
      <c r="E5" t="inlineStr">
        <is>
          <t>Ronaldo</t>
        </is>
      </c>
      <c r="F5" s="7" t="n">
        <v>432800</v>
      </c>
      <c r="G5" s="8">
        <f>SUM(F:F)</f>
        <v/>
      </c>
      <c r="H5" s="8">
        <f>SUM('Costa norte'!$I$2:$I$5)</f>
        <v/>
      </c>
      <c r="I5" s="9" t="n">
        <v>1890000</v>
      </c>
      <c r="J5" t="inlineStr">
        <is>
          <t>J5</t>
        </is>
      </c>
      <c r="K5" t="inlineStr">
        <is>
          <t>Ventas</t>
        </is>
      </c>
      <c r="L5" s="5">
        <f>COUNT('Costa norte'!$F$2:$F$14)</f>
        <v/>
      </c>
    </row>
    <row r="6">
      <c r="A6" t="inlineStr">
        <is>
          <t>Diego González</t>
        </is>
      </c>
      <c r="B6" s="5" t="n">
        <v>400000</v>
      </c>
      <c r="C6" t="inlineStr">
        <is>
          <t>Aitor Fraga</t>
        </is>
      </c>
      <c r="D6" s="7" t="n">
        <v>3900000</v>
      </c>
      <c r="E6" t="inlineStr">
        <is>
          <t>José Ángel Jurado</t>
        </is>
      </c>
      <c r="F6" s="7" t="n">
        <v>1280000</v>
      </c>
      <c r="I6" s="9">
        <f>480000+156000</f>
        <v/>
      </c>
      <c r="J6" s="5" t="inlineStr">
        <is>
          <t>J6</t>
        </is>
      </c>
    </row>
    <row r="7">
      <c r="A7" t="inlineStr">
        <is>
          <t>Jokin Gabilondo</t>
        </is>
      </c>
      <c r="B7" s="5" t="n">
        <v>500000</v>
      </c>
      <c r="C7" t="inlineStr">
        <is>
          <t>Anderson Arroyo</t>
        </is>
      </c>
      <c r="D7" s="7" t="n">
        <v>3800000</v>
      </c>
      <c r="E7" t="inlineStr">
        <is>
          <t>Diego González</t>
        </is>
      </c>
      <c r="F7" s="7" t="n">
        <v>361800</v>
      </c>
      <c r="G7" s="2" t="inlineStr">
        <is>
          <t>Saldo Inicial</t>
        </is>
      </c>
      <c r="H7" s="2" t="inlineStr">
        <is>
          <t>Beneficio</t>
        </is>
      </c>
      <c r="I7" s="9" t="n">
        <v>600000</v>
      </c>
      <c r="J7" t="inlineStr">
        <is>
          <t>J7</t>
        </is>
      </c>
    </row>
    <row r="8">
      <c r="A8" t="inlineStr">
        <is>
          <t>Agus Medina</t>
        </is>
      </c>
      <c r="B8" s="5" t="n">
        <v>4320000</v>
      </c>
      <c r="C8" t="inlineStr">
        <is>
          <t>Guilherme Fernandes</t>
        </is>
      </c>
      <c r="D8" s="7" t="n">
        <v>3700000</v>
      </c>
      <c r="E8" t="inlineStr">
        <is>
          <t>Javi Martínez</t>
        </is>
      </c>
      <c r="F8" s="7" t="n">
        <v>1194900</v>
      </c>
      <c r="G8" s="8">
        <f>40000000-B16</f>
        <v/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Javi Martínez</t>
        </is>
      </c>
      <c r="B9" s="5" t="n">
        <v>1120000</v>
      </c>
      <c r="C9" t="inlineStr">
        <is>
          <t>Ale García</t>
        </is>
      </c>
      <c r="D9" s="7" t="n">
        <v>7000000</v>
      </c>
      <c r="E9" t="inlineStr">
        <is>
          <t>Pedro López</t>
        </is>
      </c>
      <c r="F9" s="7" t="n">
        <v>1000000</v>
      </c>
      <c r="J9" t="inlineStr">
        <is>
          <t>J9</t>
        </is>
      </c>
    </row>
    <row r="10">
      <c r="A10" t="inlineStr">
        <is>
          <t>Ignasi Vilarrasa</t>
        </is>
      </c>
      <c r="B10" s="5" t="n">
        <v>3200000</v>
      </c>
      <c r="C10" t="inlineStr">
        <is>
          <t>Florian Miguel</t>
        </is>
      </c>
      <c r="D10" s="7" t="n">
        <v>4270000</v>
      </c>
      <c r="E10" t="inlineStr">
        <is>
          <t>Anderson Arroyo</t>
        </is>
      </c>
      <c r="F10" s="7" t="n">
        <v>2817200</v>
      </c>
      <c r="G10" s="2" t="inlineStr">
        <is>
          <t>Ofrecer</t>
        </is>
      </c>
      <c r="J10" s="5" t="inlineStr">
        <is>
          <t>J10</t>
        </is>
      </c>
    </row>
    <row r="11">
      <c r="A11" t="inlineStr">
        <is>
          <t>José Ángel Jurado</t>
        </is>
      </c>
      <c r="B11" s="5" t="n">
        <v>1440000</v>
      </c>
      <c r="D11" s="3" t="n"/>
      <c r="E11" t="inlineStr">
        <is>
          <t>Aitor Fraga</t>
        </is>
      </c>
      <c r="F11" s="7" t="n">
        <v>2693600</v>
      </c>
      <c r="G11" s="9">
        <f>G14+H2/4</f>
        <v/>
      </c>
      <c r="J11" t="inlineStr">
        <is>
          <t>J11</t>
        </is>
      </c>
    </row>
    <row r="12">
      <c r="A12" t="inlineStr">
        <is>
          <t>Ronaldo</t>
        </is>
      </c>
      <c r="B12" s="5" t="n">
        <v>430000</v>
      </c>
      <c r="D12" s="3" t="n"/>
      <c r="E12" t="inlineStr">
        <is>
          <t>Iñigo Córdoba</t>
        </is>
      </c>
      <c r="F12" s="7" t="n">
        <v>1922100</v>
      </c>
      <c r="G12" s="2" t="n"/>
      <c r="J12" s="5" t="inlineStr">
        <is>
          <t>J12</t>
        </is>
      </c>
    </row>
    <row r="13">
      <c r="A13" t="inlineStr">
        <is>
          <t>Brian Ocampo</t>
        </is>
      </c>
      <c r="B13" s="5" t="n">
        <v>1740000</v>
      </c>
      <c r="D13" s="3" t="n"/>
      <c r="E13" t="inlineStr">
        <is>
          <t>Imanol García</t>
        </is>
      </c>
      <c r="F13" s="7" t="n">
        <v>1497300</v>
      </c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Souleymane Faye</t>
        </is>
      </c>
      <c r="B14" s="5" t="n">
        <v>470000</v>
      </c>
      <c r="D14" s="3" t="n"/>
      <c r="E14" t="inlineStr">
        <is>
          <t>Unax Agote</t>
        </is>
      </c>
      <c r="F14" s="7" t="n">
        <v>504400</v>
      </c>
      <c r="G14" s="9">
        <f>G8+G5-G2+H5</f>
        <v/>
      </c>
      <c r="J14" s="5" t="inlineStr">
        <is>
          <t>J14</t>
        </is>
      </c>
    </row>
    <row r="15">
      <c r="A15" t="inlineStr">
        <is>
          <t>Weissman</t>
        </is>
      </c>
      <c r="B15" s="5" t="n">
        <v>680000</v>
      </c>
      <c r="D15" s="3" t="n"/>
      <c r="E15" t="inlineStr">
        <is>
          <t>Unax Agote</t>
        </is>
      </c>
      <c r="F15" s="3" t="n">
        <v>504400</v>
      </c>
      <c r="J15" t="inlineStr">
        <is>
          <t>J15</t>
        </is>
      </c>
    </row>
    <row r="16">
      <c r="B16" s="5">
        <f>SUM(B1:B15)</f>
        <v/>
      </c>
      <c r="D16" s="3" t="n"/>
      <c r="E16" t="inlineStr">
        <is>
          <t>Unax Agote</t>
        </is>
      </c>
      <c r="F16" s="3" t="n">
        <v>504400</v>
      </c>
      <c r="J16" s="5" t="inlineStr">
        <is>
          <t>J16</t>
        </is>
      </c>
    </row>
    <row r="17">
      <c r="D17" s="3" t="n"/>
      <c r="E17" t="inlineStr">
        <is>
          <t>Unax Agote</t>
        </is>
      </c>
      <c r="F17" s="3" t="n">
        <v>504400</v>
      </c>
      <c r="J17" t="inlineStr">
        <is>
          <t>J17</t>
        </is>
      </c>
    </row>
    <row r="18">
      <c r="D18" s="3" t="n"/>
      <c r="E18" t="inlineStr">
        <is>
          <t>Unax Agote</t>
        </is>
      </c>
      <c r="F18" s="3" t="n">
        <v>504400</v>
      </c>
      <c r="J18" s="5" t="inlineStr">
        <is>
          <t>J18</t>
        </is>
      </c>
    </row>
    <row r="19">
      <c r="D19" s="3" t="n"/>
      <c r="E19" t="inlineStr">
        <is>
          <t>Unax Agote</t>
        </is>
      </c>
      <c r="F19" s="3" t="n">
        <v>504400</v>
      </c>
      <c r="J19" t="inlineStr">
        <is>
          <t>J19</t>
        </is>
      </c>
    </row>
    <row r="20">
      <c r="D20" s="3" t="n"/>
      <c r="E20" t="inlineStr">
        <is>
          <t>Unax Agote</t>
        </is>
      </c>
      <c r="F20" s="3" t="n">
        <v>504400</v>
      </c>
      <c r="J20" s="5" t="inlineStr">
        <is>
          <t>J20</t>
        </is>
      </c>
    </row>
    <row r="21">
      <c r="D21" s="3" t="n"/>
      <c r="E21" t="inlineStr">
        <is>
          <t>Unax Agote</t>
        </is>
      </c>
      <c r="F21" s="3" t="n"/>
      <c r="J21" t="inlineStr">
        <is>
          <t>J21</t>
        </is>
      </c>
    </row>
    <row r="22">
      <c r="D22" s="3" t="n"/>
      <c r="F22" s="3" t="n"/>
      <c r="J22" s="5" t="inlineStr">
        <is>
          <t>J22</t>
        </is>
      </c>
    </row>
    <row r="23">
      <c r="D23" s="3" t="n"/>
      <c r="F23" s="3" t="n"/>
      <c r="J23" t="inlineStr">
        <is>
          <t>J23</t>
        </is>
      </c>
    </row>
    <row r="24">
      <c r="D24" s="3" t="n"/>
      <c r="F24" s="3" t="n"/>
      <c r="J24" s="5" t="inlineStr">
        <is>
          <t>J24</t>
        </is>
      </c>
    </row>
    <row r="25">
      <c r="D25" s="3" t="n"/>
      <c r="F25" s="3" t="n"/>
      <c r="J25" t="inlineStr">
        <is>
          <t>J25</t>
        </is>
      </c>
    </row>
    <row r="26">
      <c r="D26" s="3" t="n"/>
      <c r="F26" s="3" t="n"/>
      <c r="J26" s="5" t="inlineStr">
        <is>
          <t>J26</t>
        </is>
      </c>
    </row>
    <row r="27">
      <c r="D27" s="3" t="n"/>
      <c r="F27" s="3" t="n"/>
      <c r="J27" t="inlineStr">
        <is>
          <t>J27</t>
        </is>
      </c>
    </row>
    <row r="28">
      <c r="D28" s="3" t="n"/>
      <c r="F28" s="3" t="n"/>
      <c r="J28" s="5" t="inlineStr">
        <is>
          <t>J28</t>
        </is>
      </c>
    </row>
    <row r="29">
      <c r="D29" s="3" t="n"/>
      <c r="F29" s="3" t="n"/>
      <c r="J29" t="inlineStr">
        <is>
          <t>J29</t>
        </is>
      </c>
    </row>
    <row r="30">
      <c r="D30" s="3" t="n"/>
      <c r="F30" s="3" t="n"/>
      <c r="J30" s="5" t="inlineStr">
        <is>
          <t>J30</t>
        </is>
      </c>
    </row>
    <row r="31">
      <c r="D31" s="3" t="n"/>
      <c r="F31" s="3" t="n"/>
      <c r="J31" t="inlineStr">
        <is>
          <t>J31</t>
        </is>
      </c>
    </row>
    <row r="32">
      <c r="D32" s="3" t="n"/>
      <c r="F32" s="3" t="n"/>
      <c r="J32" s="5" t="inlineStr">
        <is>
          <t>J32</t>
        </is>
      </c>
    </row>
    <row r="33">
      <c r="D33" s="3" t="n"/>
      <c r="F33" s="3" t="n"/>
      <c r="J33" t="inlineStr">
        <is>
          <t>J33</t>
        </is>
      </c>
    </row>
    <row r="34">
      <c r="D34" s="3" t="n"/>
      <c r="F34" s="3" t="n"/>
      <c r="J34" s="5" t="inlineStr">
        <is>
          <t>J34</t>
        </is>
      </c>
    </row>
    <row r="35">
      <c r="D35" s="3" t="n"/>
      <c r="F35" s="3" t="n"/>
      <c r="J35" t="inlineStr">
        <is>
          <t>J35</t>
        </is>
      </c>
    </row>
    <row r="36">
      <c r="D36" s="3" t="n"/>
      <c r="F36" s="3" t="n"/>
      <c r="J36" s="5" t="inlineStr">
        <is>
          <t>J36</t>
        </is>
      </c>
    </row>
    <row r="37">
      <c r="D37" s="3" t="n"/>
      <c r="F37" s="3" t="n"/>
      <c r="J37" t="inlineStr">
        <is>
          <t>J37</t>
        </is>
      </c>
    </row>
    <row r="38">
      <c r="D38" s="3" t="n"/>
      <c r="F38" s="3" t="n"/>
      <c r="J38" s="5" t="inlineStr">
        <is>
          <t>J38</t>
        </is>
      </c>
    </row>
    <row r="39">
      <c r="D39" s="3" t="n"/>
      <c r="F39" s="3" t="n"/>
      <c r="J39" t="inlineStr">
        <is>
          <t>J39</t>
        </is>
      </c>
    </row>
    <row r="40">
      <c r="D40" s="3" t="n"/>
      <c r="F40" s="3" t="n"/>
      <c r="J40" s="5" t="inlineStr">
        <is>
          <t>J40</t>
        </is>
      </c>
    </row>
    <row r="41">
      <c r="D41" s="3" t="n"/>
      <c r="F41" s="3" t="n"/>
      <c r="J41" t="inlineStr">
        <is>
          <t>J41</t>
        </is>
      </c>
    </row>
    <row r="42">
      <c r="D42" s="3" t="n"/>
      <c r="F42" s="3" t="n"/>
      <c r="J42" s="5" t="inlineStr">
        <is>
          <t>J42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r:id="rId14"/>
    <hyperlink xmlns:r="http://schemas.openxmlformats.org/officeDocument/2006/relationships" ref="A15" r:id="rId15"/>
  </hyperlinks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G1" sqref="G1:G5"/>
    </sheetView>
  </sheetViews>
  <sheetFormatPr baseColWidth="10" defaultRowHeight="12.5"/>
  <cols>
    <col hidden="1" width="19.90625" customWidth="1" min="1" max="1"/>
    <col hidden="1" width="9.90625" customWidth="1" min="2" max="2"/>
    <col width="10.90625" customWidth="1" min="3" max="3"/>
    <col width="10.90625" customWidth="1" style="3" min="4" max="4"/>
    <col width="10.90625" customWidth="1" min="5" max="5"/>
    <col width="11.7265625" bestFit="1" customWidth="1" style="3" min="6" max="6"/>
    <col width="14" bestFit="1" customWidth="1" min="7" max="7"/>
    <col width="21.81640625" bestFit="1" customWidth="1" min="8" max="8"/>
    <col width="14.26953125" bestFit="1" customWidth="1" style="4" min="9" max="9"/>
    <col width="2.54296875" bestFit="1" customWidth="1" min="10" max="10"/>
    <col width="18.36328125" bestFit="1" customWidth="1" min="11" max="11"/>
    <col width="10.90625" customWidth="1" min="12" max="12"/>
  </cols>
  <sheetData>
    <row r="1">
      <c r="A1" t="inlineStr">
        <is>
          <t>Jugadores</t>
        </is>
      </c>
      <c r="B1" t="inlineStr">
        <is>
          <t>Valor dia 0</t>
        </is>
      </c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4" t="inlineStr">
        <is>
          <t>Beneficio J</t>
        </is>
      </c>
      <c r="J1" s="5" t="n"/>
      <c r="K1" s="4" t="inlineStr">
        <is>
          <t>Ultima Actualización</t>
        </is>
      </c>
      <c r="L1" s="10">
        <f>TODAY()</f>
        <v/>
      </c>
    </row>
    <row r="2">
      <c r="A2" t="inlineStr">
        <is>
          <t>Guillermo Vallejo</t>
        </is>
      </c>
      <c r="B2" t="n">
        <v>670000</v>
      </c>
      <c r="D2" s="7" t="n"/>
      <c r="E2" s="5" t="n"/>
      <c r="F2" s="7" t="n"/>
      <c r="G2" s="8">
        <f>SUM(D:D)</f>
        <v/>
      </c>
      <c r="H2" s="9" t="n">
        <v>26040000</v>
      </c>
      <c r="I2" s="9" t="n">
        <v>810000</v>
      </c>
      <c r="J2" s="5" t="inlineStr">
        <is>
          <t>J2</t>
        </is>
      </c>
      <c r="K2" s="6" t="n">
        <v>45936</v>
      </c>
    </row>
    <row r="3">
      <c r="A3" t="inlineStr">
        <is>
          <t>Iker Álvarez</t>
        </is>
      </c>
      <c r="B3" t="n">
        <v>1330000</v>
      </c>
      <c r="D3" s="7" t="n"/>
      <c r="F3" s="7" t="n"/>
      <c r="G3" s="2" t="n"/>
      <c r="I3" s="9" t="n">
        <v>1250000</v>
      </c>
      <c r="J3" t="inlineStr">
        <is>
          <t>J3</t>
        </is>
      </c>
    </row>
    <row r="4">
      <c r="A4" t="inlineStr">
        <is>
          <t>Rubén González</t>
        </is>
      </c>
      <c r="B4" t="n">
        <v>2020000</v>
      </c>
      <c r="D4" s="7" t="n"/>
      <c r="G4" s="2" t="inlineStr">
        <is>
          <t>Ingresado Total</t>
        </is>
      </c>
      <c r="H4" t="inlineStr">
        <is>
          <t>Beneficio Total Jornadas</t>
        </is>
      </c>
      <c r="I4" s="9" t="n">
        <v>1130000</v>
      </c>
      <c r="J4" s="5" t="inlineStr">
        <is>
          <t>J4</t>
        </is>
      </c>
      <c r="K4" t="inlineStr">
        <is>
          <t>Compras</t>
        </is>
      </c>
      <c r="L4" s="5">
        <f>COUNT('Lábaro FC'!$D$2)</f>
        <v/>
      </c>
    </row>
    <row r="5">
      <c r="A5" t="inlineStr">
        <is>
          <t>Fernando Medrano</t>
        </is>
      </c>
      <c r="B5" t="n">
        <v>460000</v>
      </c>
      <c r="D5" s="7" t="n"/>
      <c r="G5" s="8">
        <f>SUM(F:F)</f>
        <v/>
      </c>
      <c r="H5" s="8">
        <f>SUM('Lábaro FC'!$I$2:$I$7)</f>
        <v/>
      </c>
      <c r="I5" s="9" t="n">
        <v>1010000</v>
      </c>
      <c r="J5" t="inlineStr">
        <is>
          <t>J5</t>
        </is>
      </c>
      <c r="K5" t="inlineStr">
        <is>
          <t>Ventas</t>
        </is>
      </c>
      <c r="L5" s="5">
        <f>COUNT('Lábaro FC'!$F$2)</f>
        <v/>
      </c>
    </row>
    <row r="6">
      <c r="A6" t="inlineStr">
        <is>
          <t>Lorenzo Aguado</t>
        </is>
      </c>
      <c r="B6" t="n">
        <v>270000</v>
      </c>
      <c r="D6" s="7" t="n"/>
      <c r="I6" s="9" t="n">
        <v>1140000</v>
      </c>
      <c r="J6" s="5" t="inlineStr">
        <is>
          <t>J6</t>
        </is>
      </c>
    </row>
    <row r="7">
      <c r="A7" t="inlineStr">
        <is>
          <t>Diego Hormigo</t>
        </is>
      </c>
      <c r="B7" t="n">
        <v>440000</v>
      </c>
      <c r="G7" s="2" t="inlineStr">
        <is>
          <t>Saldo Inicial</t>
        </is>
      </c>
      <c r="H7" s="2" t="inlineStr">
        <is>
          <t>Beneficio</t>
        </is>
      </c>
      <c r="I7" s="9" t="n">
        <v>860000</v>
      </c>
      <c r="J7" t="inlineStr">
        <is>
          <t>J7</t>
        </is>
      </c>
    </row>
    <row r="8">
      <c r="A8" t="inlineStr">
        <is>
          <t>Iker Córdoba</t>
        </is>
      </c>
      <c r="B8" t="n">
        <v>240000</v>
      </c>
      <c r="G8" s="8" t="n">
        <v>18950000</v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Stanko Juric</t>
        </is>
      </c>
      <c r="B9" t="n">
        <v>3330000</v>
      </c>
      <c r="J9" t="inlineStr">
        <is>
          <t>J9</t>
        </is>
      </c>
    </row>
    <row r="10">
      <c r="A10" t="inlineStr">
        <is>
          <t>Sebas Moyano</t>
        </is>
      </c>
      <c r="B10" t="n">
        <v>3160000</v>
      </c>
      <c r="G10" s="2" t="inlineStr">
        <is>
          <t>Ofrecer</t>
        </is>
      </c>
      <c r="J10" s="5" t="inlineStr">
        <is>
          <t>J10</t>
        </is>
      </c>
    </row>
    <row r="11">
      <c r="A11" t="inlineStr">
        <is>
          <t>Sergio Molina</t>
        </is>
      </c>
      <c r="B11" t="n">
        <v>1670000</v>
      </c>
      <c r="G11" s="9">
        <f>G8+H2/4</f>
        <v/>
      </c>
      <c r="J11" t="inlineStr">
        <is>
          <t>J11</t>
        </is>
      </c>
    </row>
    <row r="12">
      <c r="A12" t="inlineStr">
        <is>
          <t>Villahermosa</t>
        </is>
      </c>
      <c r="B12" t="n">
        <v>1150000</v>
      </c>
      <c r="J12" s="5" t="inlineStr">
        <is>
          <t>J12</t>
        </is>
      </c>
    </row>
    <row r="13">
      <c r="A13" t="inlineStr">
        <is>
          <t>Bless Aniekan</t>
        </is>
      </c>
      <c r="B13" t="n">
        <v>150000</v>
      </c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Awer Mabil</t>
        </is>
      </c>
      <c r="B14" t="n">
        <v>3580000</v>
      </c>
      <c r="G14" s="9">
        <f>G8+G5-G2+H5</f>
        <v/>
      </c>
      <c r="J14" s="5" t="inlineStr">
        <is>
          <t>J14</t>
        </is>
      </c>
    </row>
    <row r="15">
      <c r="A15" t="inlineStr">
        <is>
          <t>Ekain Orobengoa</t>
        </is>
      </c>
      <c r="B15" t="n">
        <v>310000</v>
      </c>
      <c r="J15" t="inlineStr">
        <is>
          <t>J15</t>
        </is>
      </c>
    </row>
    <row r="16">
      <c r="A16" t="inlineStr">
        <is>
          <t>Jorge Pascual</t>
        </is>
      </c>
      <c r="B16" t="n">
        <v>2270000</v>
      </c>
      <c r="J16" s="5" t="inlineStr">
        <is>
          <t>J16</t>
        </is>
      </c>
    </row>
    <row r="17">
      <c r="B17" t="n">
        <v>21050000</v>
      </c>
      <c r="J17" t="inlineStr">
        <is>
          <t>J17</t>
        </is>
      </c>
    </row>
    <row r="18">
      <c r="J18" s="5" t="inlineStr">
        <is>
          <t>J18</t>
        </is>
      </c>
    </row>
    <row r="19">
      <c r="J19" t="inlineStr">
        <is>
          <t>J19</t>
        </is>
      </c>
    </row>
    <row r="20">
      <c r="J20" s="5" t="inlineStr">
        <is>
          <t>J20</t>
        </is>
      </c>
    </row>
    <row r="21">
      <c r="J21" t="inlineStr">
        <is>
          <t>J21</t>
        </is>
      </c>
    </row>
    <row r="22">
      <c r="J22" s="5" t="inlineStr">
        <is>
          <t>J22</t>
        </is>
      </c>
    </row>
    <row r="23">
      <c r="J23" t="inlineStr">
        <is>
          <t>J23</t>
        </is>
      </c>
    </row>
    <row r="24">
      <c r="J24" s="5" t="inlineStr">
        <is>
          <t>J24</t>
        </is>
      </c>
    </row>
    <row r="25">
      <c r="J25" t="inlineStr">
        <is>
          <t>J25</t>
        </is>
      </c>
    </row>
    <row r="26">
      <c r="J26" s="5" t="inlineStr">
        <is>
          <t>J26</t>
        </is>
      </c>
    </row>
    <row r="27">
      <c r="J27" t="inlineStr">
        <is>
          <t>J27</t>
        </is>
      </c>
    </row>
    <row r="28">
      <c r="J28" s="5" t="inlineStr">
        <is>
          <t>J28</t>
        </is>
      </c>
    </row>
    <row r="29">
      <c r="J29" t="inlineStr">
        <is>
          <t>J29</t>
        </is>
      </c>
    </row>
    <row r="30">
      <c r="J30" s="5" t="inlineStr">
        <is>
          <t>J30</t>
        </is>
      </c>
    </row>
    <row r="31">
      <c r="J31" t="inlineStr">
        <is>
          <t>J31</t>
        </is>
      </c>
    </row>
    <row r="32">
      <c r="J32" s="5" t="inlineStr">
        <is>
          <t>J32</t>
        </is>
      </c>
    </row>
    <row r="33">
      <c r="J33" t="inlineStr">
        <is>
          <t>J33</t>
        </is>
      </c>
    </row>
    <row r="34">
      <c r="J34" s="5" t="inlineStr">
        <is>
          <t>J34</t>
        </is>
      </c>
    </row>
    <row r="35">
      <c r="J35" t="inlineStr">
        <is>
          <t>J35</t>
        </is>
      </c>
    </row>
    <row r="36">
      <c r="J36" s="5" t="inlineStr">
        <is>
          <t>J36</t>
        </is>
      </c>
    </row>
    <row r="37">
      <c r="J37" t="inlineStr">
        <is>
          <t>J37</t>
        </is>
      </c>
    </row>
    <row r="38">
      <c r="J38" s="5" t="inlineStr">
        <is>
          <t>J38</t>
        </is>
      </c>
    </row>
    <row r="39">
      <c r="J39" t="inlineStr">
        <is>
          <t>J39</t>
        </is>
      </c>
    </row>
    <row r="40">
      <c r="J40" s="5" t="inlineStr">
        <is>
          <t>J40</t>
        </is>
      </c>
    </row>
    <row r="41">
      <c r="J41" t="inlineStr">
        <is>
          <t>J41</t>
        </is>
      </c>
    </row>
    <row r="42">
      <c r="J42" s="5" t="inlineStr">
        <is>
          <t>J42</t>
        </is>
      </c>
    </row>
  </sheetData>
  <pageMargins left="0.7000000000000001" right="0.7000000000000001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G1" sqref="G1:G5"/>
    </sheetView>
  </sheetViews>
  <sheetFormatPr baseColWidth="10" defaultRowHeight="12.5"/>
  <cols>
    <col hidden="1" width="18.08984375" customWidth="1" min="1" max="1"/>
    <col hidden="1" width="10.90625" customWidth="1" min="2" max="2"/>
    <col width="15.54296875" bestFit="1" customWidth="1" min="3" max="3"/>
    <col width="10.36328125" bestFit="1" customWidth="1" style="16" min="4" max="4"/>
    <col width="15" bestFit="1" customWidth="1" min="5" max="5"/>
    <col width="11.7265625" bestFit="1" customWidth="1" style="16" min="6" max="6"/>
    <col width="14" bestFit="1" customWidth="1" min="7" max="7"/>
    <col width="21.81640625" bestFit="1" customWidth="1" min="8" max="8"/>
    <col width="10.90625" customWidth="1" style="4" min="9" max="9"/>
    <col width="10.90625" customWidth="1" min="10" max="10"/>
    <col width="18.36328125" bestFit="1" customWidth="1" min="11" max="11"/>
    <col width="10.90625" customWidth="1" min="12" max="12"/>
  </cols>
  <sheetData>
    <row r="1"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4" t="inlineStr">
        <is>
          <t>Beneficio J</t>
        </is>
      </c>
      <c r="J1" s="5" t="n"/>
      <c r="K1" s="4" t="inlineStr">
        <is>
          <t>Ultima Actualización</t>
        </is>
      </c>
      <c r="L1" s="10">
        <f>TODAY()</f>
        <v/>
      </c>
    </row>
    <row r="2">
      <c r="A2" t="inlineStr">
        <is>
          <t>Jonmi Magunagoitia</t>
        </is>
      </c>
      <c r="B2" s="17" t="n">
        <v>3410000</v>
      </c>
      <c r="C2" t="inlineStr">
        <is>
          <t>Sangalli</t>
        </is>
      </c>
      <c r="D2" s="7" t="n">
        <v>3125001</v>
      </c>
      <c r="E2" s="5" t="inlineStr">
        <is>
          <t>Mamadou Traoré</t>
        </is>
      </c>
      <c r="F2" s="7" t="n">
        <v>144500</v>
      </c>
      <c r="G2" s="8">
        <f>SUM(D:D)</f>
        <v/>
      </c>
      <c r="H2" s="9" t="n">
        <v>41260000</v>
      </c>
      <c r="I2" s="9" t="n">
        <v>930000</v>
      </c>
      <c r="J2" s="5" t="inlineStr">
        <is>
          <t>J2</t>
        </is>
      </c>
      <c r="K2" s="6" t="n">
        <v>45936</v>
      </c>
    </row>
    <row r="3">
      <c r="A3" t="inlineStr">
        <is>
          <t>Egoitz Arana</t>
        </is>
      </c>
      <c r="B3" s="17" t="n">
        <v>200000</v>
      </c>
      <c r="C3" t="inlineStr">
        <is>
          <t>Dani Barcia</t>
        </is>
      </c>
      <c r="D3" s="7" t="n">
        <v>4680000</v>
      </c>
      <c r="E3" t="inlineStr">
        <is>
          <t>Joaquín González</t>
        </is>
      </c>
      <c r="F3" s="7" t="n">
        <v>235400</v>
      </c>
      <c r="G3" s="2" t="n"/>
      <c r="I3" s="9" t="n">
        <v>1370000</v>
      </c>
      <c r="J3" t="inlineStr">
        <is>
          <t>J3</t>
        </is>
      </c>
    </row>
    <row r="4">
      <c r="A4" t="inlineStr">
        <is>
          <t>Carlos Puga</t>
        </is>
      </c>
      <c r="B4" s="17" t="n">
        <v>1610000</v>
      </c>
      <c r="C4" t="inlineStr">
        <is>
          <t>Javier Castro</t>
        </is>
      </c>
      <c r="D4" s="7" t="n">
        <v>4581000</v>
      </c>
      <c r="E4" t="inlineStr">
        <is>
          <t>Hodei Arrillaga</t>
        </is>
      </c>
      <c r="F4" s="7" t="n">
        <v>566300</v>
      </c>
      <c r="G4" s="2" t="inlineStr">
        <is>
          <t>Ingresado Total</t>
        </is>
      </c>
      <c r="H4" t="inlineStr">
        <is>
          <t>Beneficio Total Jornadas</t>
        </is>
      </c>
      <c r="I4" s="9" t="n">
        <v>950000</v>
      </c>
      <c r="J4" s="5" t="inlineStr">
        <is>
          <t>J4</t>
        </is>
      </c>
      <c r="K4" t="inlineStr">
        <is>
          <t>Compras</t>
        </is>
      </c>
      <c r="L4" s="5">
        <f>COUNT(Cacafuti!$D$2:$D$11)</f>
        <v/>
      </c>
    </row>
    <row r="5">
      <c r="A5" t="inlineStr">
        <is>
          <t>Sergio Barcia</t>
        </is>
      </c>
      <c r="B5" s="17" t="n">
        <v>2050000</v>
      </c>
      <c r="C5" t="inlineStr">
        <is>
          <t>Victor Valverde</t>
        </is>
      </c>
      <c r="D5" s="7" t="n">
        <v>1004041</v>
      </c>
      <c r="E5" t="inlineStr">
        <is>
          <t>Manu Trigueros</t>
        </is>
      </c>
      <c r="F5" s="7" t="n">
        <v>2199700</v>
      </c>
      <c r="G5" s="8">
        <f>SUM(F:F)</f>
        <v/>
      </c>
      <c r="H5" s="8">
        <f>SUM(Cacafuti!$I$2:$I$7)</f>
        <v/>
      </c>
      <c r="I5" s="9" t="n">
        <v>1310000</v>
      </c>
      <c r="J5" t="inlineStr">
        <is>
          <t>J5</t>
        </is>
      </c>
      <c r="K5" t="inlineStr">
        <is>
          <t>Ventas</t>
        </is>
      </c>
      <c r="L5" s="5">
        <f>COUNT(Cacafuti!$F$2:$F$10)</f>
        <v/>
      </c>
    </row>
    <row r="6">
      <c r="A6" t="inlineStr">
        <is>
          <t>Hodei Arrillaga</t>
        </is>
      </c>
      <c r="B6" s="17" t="n">
        <v>690000</v>
      </c>
      <c r="C6" t="inlineStr">
        <is>
          <t>Àlex Corredera</t>
        </is>
      </c>
      <c r="D6" s="7" t="n">
        <v>4950010</v>
      </c>
      <c r="E6" t="inlineStr">
        <is>
          <t>Peru Nolaskoain</t>
        </is>
      </c>
      <c r="F6" s="7" t="n">
        <v>1649400</v>
      </c>
      <c r="I6" s="9" t="n">
        <v>920000</v>
      </c>
      <c r="J6" s="5" t="inlineStr">
        <is>
          <t>J6</t>
        </is>
      </c>
    </row>
    <row r="7">
      <c r="A7" t="inlineStr">
        <is>
          <t>Pablo García</t>
        </is>
      </c>
      <c r="B7" s="17" t="n">
        <v>1170000</v>
      </c>
      <c r="C7" t="inlineStr">
        <is>
          <t>Cristian Rodríguez</t>
        </is>
      </c>
      <c r="D7" s="7" t="n">
        <v>1120000</v>
      </c>
      <c r="E7" t="inlineStr">
        <is>
          <t>Pablo García</t>
        </is>
      </c>
      <c r="F7" s="7" t="n">
        <v>907400</v>
      </c>
      <c r="G7" s="2" t="inlineStr">
        <is>
          <t>Saldo Inicial</t>
        </is>
      </c>
      <c r="H7" s="2" t="inlineStr">
        <is>
          <t>Beneficio</t>
        </is>
      </c>
      <c r="I7" s="9" t="n">
        <v>1110000</v>
      </c>
      <c r="J7" t="inlineStr">
        <is>
          <t>J7</t>
        </is>
      </c>
    </row>
    <row r="8">
      <c r="A8" t="inlineStr">
        <is>
          <t>Tincho Conde</t>
        </is>
      </c>
      <c r="B8" s="17" t="n">
        <v>560000</v>
      </c>
      <c r="C8" t="inlineStr">
        <is>
          <t>Eddahchouri</t>
        </is>
      </c>
      <c r="D8" s="7" t="n">
        <v>6251001</v>
      </c>
      <c r="E8" t="inlineStr">
        <is>
          <t>Egoitz Arana</t>
        </is>
      </c>
      <c r="F8" s="7" t="n">
        <v>350000</v>
      </c>
      <c r="G8" s="8">
        <f>40000000-B17</f>
        <v/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Isma Ruiz</t>
        </is>
      </c>
      <c r="B9" s="17" t="n">
        <v>3370000</v>
      </c>
      <c r="C9" t="inlineStr">
        <is>
          <t>Gorka Carrera</t>
        </is>
      </c>
      <c r="D9" s="7" t="n">
        <v>1460000</v>
      </c>
      <c r="E9" t="inlineStr">
        <is>
          <t>De la Rosa</t>
        </is>
      </c>
      <c r="F9" s="7" t="n">
        <v>386500</v>
      </c>
      <c r="J9" t="inlineStr">
        <is>
          <t>J9</t>
        </is>
      </c>
    </row>
    <row r="10">
      <c r="A10" t="inlineStr">
        <is>
          <t>Peru Nolaskoain</t>
        </is>
      </c>
      <c r="B10" s="17" t="n">
        <v>2550000</v>
      </c>
      <c r="C10" t="inlineStr">
        <is>
          <t>Baba</t>
        </is>
      </c>
      <c r="D10" s="7" t="n">
        <v>775010</v>
      </c>
      <c r="E10" t="inlineStr">
        <is>
          <t>Victor Valverde</t>
        </is>
      </c>
      <c r="F10" s="7" t="n">
        <v>692400</v>
      </c>
      <c r="G10" s="2" t="inlineStr">
        <is>
          <t>Ofrecer</t>
        </is>
      </c>
      <c r="J10" s="5" t="inlineStr">
        <is>
          <t>J10</t>
        </is>
      </c>
    </row>
    <row r="11">
      <c r="A11" t="inlineStr">
        <is>
          <t>Manu Trigueros</t>
        </is>
      </c>
      <c r="B11" s="17" t="n">
        <v>2690000</v>
      </c>
      <c r="C11" t="inlineStr">
        <is>
          <t>Diego Villares</t>
        </is>
      </c>
      <c r="D11" s="7" t="n">
        <v>3860001</v>
      </c>
      <c r="F11" s="3" t="n"/>
      <c r="G11" s="9">
        <f>G14+H2/4</f>
        <v/>
      </c>
      <c r="J11" t="inlineStr">
        <is>
          <t>J11</t>
        </is>
      </c>
    </row>
    <row r="12">
      <c r="A12" t="inlineStr">
        <is>
          <t>Nico Toca</t>
        </is>
      </c>
      <c r="B12" s="17" t="n">
        <v>160000</v>
      </c>
      <c r="D12" s="3" t="n"/>
      <c r="F12" s="3" t="n"/>
      <c r="G12" s="2" t="n"/>
      <c r="J12" s="5" t="inlineStr">
        <is>
          <t>J12</t>
        </is>
      </c>
    </row>
    <row r="13">
      <c r="A13" t="inlineStr">
        <is>
          <t>Joaquín González</t>
        </is>
      </c>
      <c r="B13" s="17" t="n">
        <v>240000</v>
      </c>
      <c r="D13" s="3" t="n"/>
      <c r="F13" s="3" t="n"/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Samed Bazdar</t>
        </is>
      </c>
      <c r="B14" s="17" t="n">
        <v>1640000</v>
      </c>
      <c r="D14" s="3" t="n"/>
      <c r="F14" s="3" t="n"/>
      <c r="G14" s="9">
        <f>G8+G5-G2+H5</f>
        <v/>
      </c>
      <c r="J14" s="5" t="inlineStr">
        <is>
          <t>J14</t>
        </is>
      </c>
    </row>
    <row r="15">
      <c r="A15" t="inlineStr">
        <is>
          <t>De la Rosa</t>
        </is>
      </c>
      <c r="B15" s="17" t="n">
        <v>640000</v>
      </c>
      <c r="D15" s="3" t="n"/>
      <c r="F15" s="3" t="n"/>
      <c r="J15" t="inlineStr">
        <is>
          <t>J15</t>
        </is>
      </c>
    </row>
    <row r="16">
      <c r="A16" t="inlineStr">
        <is>
          <t>Mamadou Traoré</t>
        </is>
      </c>
      <c r="B16" s="17" t="n">
        <v>150000</v>
      </c>
      <c r="D16" s="3" t="n"/>
      <c r="F16" s="3" t="n"/>
      <c r="J16" s="5" t="inlineStr">
        <is>
          <t>J16</t>
        </is>
      </c>
    </row>
    <row r="17">
      <c r="B17" s="18">
        <f>SUM(B2:B16)</f>
        <v/>
      </c>
      <c r="D17" s="3" t="n"/>
      <c r="F17" s="3" t="n"/>
      <c r="J17" t="inlineStr">
        <is>
          <t>J17</t>
        </is>
      </c>
    </row>
    <row r="18">
      <c r="D18" s="3" t="n"/>
      <c r="F18" s="3" t="n"/>
      <c r="J18" s="5" t="inlineStr">
        <is>
          <t>J18</t>
        </is>
      </c>
    </row>
    <row r="19">
      <c r="D19" s="3" t="n"/>
      <c r="F19" s="3" t="n"/>
      <c r="J19" t="inlineStr">
        <is>
          <t>J19</t>
        </is>
      </c>
    </row>
    <row r="20">
      <c r="D20" s="3" t="n"/>
      <c r="F20" s="3" t="n"/>
      <c r="J20" s="5" t="inlineStr">
        <is>
          <t>J20</t>
        </is>
      </c>
    </row>
    <row r="21">
      <c r="D21" s="3" t="n"/>
      <c r="F21" s="3" t="n"/>
      <c r="J21" t="inlineStr">
        <is>
          <t>J21</t>
        </is>
      </c>
    </row>
    <row r="22">
      <c r="D22" s="3" t="n"/>
      <c r="F22" s="3" t="n"/>
      <c r="J22" s="5" t="inlineStr">
        <is>
          <t>J22</t>
        </is>
      </c>
    </row>
    <row r="23">
      <c r="D23" s="3" t="n"/>
      <c r="F23" s="3" t="n"/>
      <c r="J23" t="inlineStr">
        <is>
          <t>J23</t>
        </is>
      </c>
    </row>
    <row r="24">
      <c r="D24" s="3" t="n"/>
      <c r="F24" s="3" t="n"/>
      <c r="J24" s="5" t="inlineStr">
        <is>
          <t>J24</t>
        </is>
      </c>
    </row>
    <row r="25">
      <c r="D25" s="3" t="n"/>
      <c r="F25" s="3" t="n"/>
      <c r="J25" t="inlineStr">
        <is>
          <t>J25</t>
        </is>
      </c>
    </row>
    <row r="26">
      <c r="D26" s="3" t="n"/>
      <c r="F26" s="3" t="n"/>
      <c r="J26" s="5" t="inlineStr">
        <is>
          <t>J26</t>
        </is>
      </c>
    </row>
    <row r="27">
      <c r="D27" s="3" t="n"/>
      <c r="F27" s="3" t="n"/>
      <c r="J27" t="inlineStr">
        <is>
          <t>J27</t>
        </is>
      </c>
    </row>
    <row r="28">
      <c r="D28" s="3" t="n"/>
      <c r="F28" s="3" t="n"/>
      <c r="J28" s="5" t="inlineStr">
        <is>
          <t>J28</t>
        </is>
      </c>
    </row>
    <row r="29">
      <c r="D29" s="3" t="n"/>
      <c r="F29" s="3" t="n"/>
      <c r="J29" t="inlineStr">
        <is>
          <t>J29</t>
        </is>
      </c>
    </row>
    <row r="30">
      <c r="D30" s="3" t="n"/>
      <c r="F30" s="3" t="n"/>
      <c r="J30" s="5" t="inlineStr">
        <is>
          <t>J30</t>
        </is>
      </c>
    </row>
    <row r="31">
      <c r="D31" s="3" t="n"/>
      <c r="F31" s="3" t="n"/>
      <c r="J31" t="inlineStr">
        <is>
          <t>J31</t>
        </is>
      </c>
    </row>
    <row r="32">
      <c r="D32" s="3" t="n"/>
      <c r="F32" s="3" t="n"/>
      <c r="J32" s="5" t="inlineStr">
        <is>
          <t>J32</t>
        </is>
      </c>
    </row>
    <row r="33">
      <c r="D33" s="3" t="n"/>
      <c r="F33" s="3" t="n"/>
      <c r="J33" t="inlineStr">
        <is>
          <t>J33</t>
        </is>
      </c>
    </row>
    <row r="34">
      <c r="D34" s="3" t="n"/>
      <c r="F34" s="3" t="n"/>
      <c r="J34" s="5" t="inlineStr">
        <is>
          <t>J34</t>
        </is>
      </c>
    </row>
    <row r="35">
      <c r="D35" s="3" t="n"/>
      <c r="F35" s="3" t="n"/>
      <c r="J35" t="inlineStr">
        <is>
          <t>J35</t>
        </is>
      </c>
    </row>
    <row r="36">
      <c r="D36" s="3" t="n"/>
      <c r="F36" s="3" t="n"/>
      <c r="J36" s="5" t="inlineStr">
        <is>
          <t>J36</t>
        </is>
      </c>
    </row>
    <row r="37">
      <c r="D37" s="3" t="n"/>
      <c r="F37" s="3" t="n"/>
      <c r="J37" t="inlineStr">
        <is>
          <t>J37</t>
        </is>
      </c>
    </row>
    <row r="38">
      <c r="D38" s="3" t="n"/>
      <c r="F38" s="3" t="n"/>
      <c r="J38" s="5" t="inlineStr">
        <is>
          <t>J38</t>
        </is>
      </c>
    </row>
    <row r="39">
      <c r="D39" s="3" t="n"/>
      <c r="F39" s="3" t="n"/>
      <c r="J39" t="inlineStr">
        <is>
          <t>J39</t>
        </is>
      </c>
    </row>
    <row r="40">
      <c r="D40" s="3" t="n"/>
      <c r="F40" s="3" t="n"/>
      <c r="J40" s="5" t="inlineStr">
        <is>
          <t>J40</t>
        </is>
      </c>
    </row>
    <row r="41">
      <c r="D41" s="3" t="n"/>
      <c r="F41" s="3" t="n"/>
      <c r="J41" t="inlineStr">
        <is>
          <t>J41</t>
        </is>
      </c>
    </row>
    <row r="42">
      <c r="D42" s="3" t="n"/>
      <c r="F42" s="3" t="n"/>
      <c r="J42" s="5" t="inlineStr">
        <is>
          <t>J42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</hyperlinks>
  <pageMargins left="0.7000000000000001" right="0.7000000000000001" top="0.75" bottom="0.75" header="0.3" footer="0.3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5"/>
  <sheetViews>
    <sheetView topLeftCell="C1" workbookViewId="0">
      <selection activeCell="E21" sqref="E21:F24"/>
    </sheetView>
  </sheetViews>
  <sheetFormatPr baseColWidth="10" defaultRowHeight="12.5"/>
  <cols>
    <col hidden="1" width="16.7265625" customWidth="1" min="1" max="1"/>
    <col hidden="1" width="10.90625" customWidth="1" min="2" max="2"/>
    <col width="17" bestFit="1" customWidth="1" min="3" max="3"/>
    <col width="10.90625" customWidth="1" style="7" min="4" max="4"/>
    <col width="15.81640625" bestFit="1" customWidth="1" min="5" max="5"/>
    <col width="10.90625" customWidth="1" style="7" min="6" max="6"/>
    <col width="12.90625" bestFit="1" customWidth="1" min="7" max="7"/>
    <col width="21.81640625" bestFit="1" customWidth="1" min="8" max="8"/>
    <col width="10.90625" customWidth="1" style="16" min="9" max="9"/>
    <col width="3.54296875" bestFit="1" customWidth="1" min="10" max="10"/>
    <col width="18.36328125" bestFit="1" customWidth="1" min="11" max="11"/>
    <col width="10.90625" customWidth="1" min="12" max="12"/>
  </cols>
  <sheetData>
    <row r="1">
      <c r="A1" t="inlineStr">
        <is>
          <t>Víctor Aznar</t>
        </is>
      </c>
      <c r="B1" s="17" t="n">
        <v>920000</v>
      </c>
      <c r="C1" s="2" t="inlineStr">
        <is>
          <t>Altas</t>
        </is>
      </c>
      <c r="D1" s="7" t="inlineStr">
        <is>
          <t>Gastado</t>
        </is>
      </c>
      <c r="E1" s="2" t="inlineStr">
        <is>
          <t>Bajas</t>
        </is>
      </c>
      <c r="F1" s="7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16" t="inlineStr">
        <is>
          <t>Beneficio J</t>
        </is>
      </c>
      <c r="J1" s="5" t="n"/>
      <c r="K1" s="4" t="inlineStr">
        <is>
          <t>Ultima Actualización</t>
        </is>
      </c>
      <c r="L1" s="10">
        <f>TODAY()</f>
        <v/>
      </c>
    </row>
    <row r="2">
      <c r="A2" t="inlineStr">
        <is>
          <t>Fernando Martinez</t>
        </is>
      </c>
      <c r="B2" s="17" t="n">
        <v>1470000</v>
      </c>
      <c r="C2" t="inlineStr">
        <is>
          <t>Álex Martín</t>
        </is>
      </c>
      <c r="D2" s="7" t="n">
        <v>685000</v>
      </c>
      <c r="E2" s="5" t="inlineStr">
        <is>
          <t>Iñaki Rupérez</t>
        </is>
      </c>
      <c r="F2" s="7" t="n">
        <v>1127200</v>
      </c>
      <c r="G2" s="8">
        <f>SUM(D:D)</f>
        <v/>
      </c>
      <c r="H2" s="9" t="n">
        <v>44490000</v>
      </c>
      <c r="I2" s="9" t="n">
        <v>930000</v>
      </c>
      <c r="J2" s="5" t="inlineStr">
        <is>
          <t>J2</t>
        </is>
      </c>
      <c r="K2" s="6" t="n">
        <v>45936</v>
      </c>
    </row>
    <row r="3">
      <c r="A3" t="inlineStr">
        <is>
          <t>Julio Alonso</t>
        </is>
      </c>
      <c r="B3" s="17" t="n">
        <v>1380000</v>
      </c>
      <c r="C3" t="inlineStr">
        <is>
          <t>Jonathan Viera</t>
        </is>
      </c>
      <c r="D3" s="7" t="n">
        <v>8521000</v>
      </c>
      <c r="E3" t="inlineStr">
        <is>
          <t>Fernando Martinez</t>
        </is>
      </c>
      <c r="F3" s="7" t="n">
        <v>1413200</v>
      </c>
      <c r="G3" s="2" t="n"/>
      <c r="I3" s="9" t="n">
        <v>1090000</v>
      </c>
      <c r="J3" t="inlineStr">
        <is>
          <t>J3</t>
        </is>
      </c>
    </row>
    <row r="4">
      <c r="A4" t="inlineStr">
        <is>
          <t>Iván Garriel</t>
        </is>
      </c>
      <c r="B4" s="17" t="n">
        <v>150000</v>
      </c>
      <c r="C4" t="inlineStr">
        <is>
          <t>Yeremay Hernández</t>
        </is>
      </c>
      <c r="D4" s="7" t="n">
        <v>13852000</v>
      </c>
      <c r="E4" t="inlineStr">
        <is>
          <t>Einar Galilea</t>
        </is>
      </c>
      <c r="F4" s="7" t="n">
        <v>772100</v>
      </c>
      <c r="G4" s="2" t="inlineStr">
        <is>
          <t>Ingresado Total</t>
        </is>
      </c>
      <c r="H4" t="inlineStr">
        <is>
          <t>Beneficio Total Jornadas</t>
        </is>
      </c>
      <c r="I4" s="9" t="n">
        <v>760000</v>
      </c>
      <c r="J4" s="5" t="inlineStr">
        <is>
          <t>J4</t>
        </is>
      </c>
      <c r="K4" t="inlineStr">
        <is>
          <t>Compras</t>
        </is>
      </c>
      <c r="L4" s="5">
        <f>COUNT('Luis Padrique'!$D$2:$D$14)</f>
        <v/>
      </c>
    </row>
    <row r="5">
      <c r="A5" t="inlineStr">
        <is>
          <t>Iñaki Rupérez</t>
        </is>
      </c>
      <c r="B5" s="17" t="n">
        <v>1120000</v>
      </c>
      <c r="C5" t="inlineStr">
        <is>
          <t>Pau Casadesús</t>
        </is>
      </c>
      <c r="D5" s="7" t="n">
        <v>325000</v>
      </c>
      <c r="E5" t="inlineStr">
        <is>
          <t>Escalante</t>
        </is>
      </c>
      <c r="F5" s="7" t="n">
        <v>617600</v>
      </c>
      <c r="G5" s="8">
        <f>SUM(F:F)</f>
        <v/>
      </c>
      <c r="H5" s="8">
        <f>SUM('Luis Padrique'!$I$2:$I$7)</f>
        <v/>
      </c>
      <c r="I5" s="9" t="n">
        <v>960000</v>
      </c>
      <c r="J5" t="inlineStr">
        <is>
          <t>J5</t>
        </is>
      </c>
      <c r="K5" t="inlineStr">
        <is>
          <t>Ventas</t>
        </is>
      </c>
      <c r="L5" s="5">
        <f>COUNT('Luis Padrique'!$F$2:$F$20)</f>
        <v/>
      </c>
    </row>
    <row r="6">
      <c r="A6" t="inlineStr">
        <is>
          <t>Einar Galilea</t>
        </is>
      </c>
      <c r="B6" s="17" t="n">
        <v>800000</v>
      </c>
      <c r="C6" t="inlineStr">
        <is>
          <t>Andrés Martín</t>
        </is>
      </c>
      <c r="D6" s="7" t="n">
        <v>14525000</v>
      </c>
      <c r="E6" t="inlineStr">
        <is>
          <t>Ramón Enríquez</t>
        </is>
      </c>
      <c r="F6" s="7" t="n">
        <v>159600</v>
      </c>
      <c r="I6" s="9" t="n">
        <v>1380000</v>
      </c>
      <c r="J6" s="5" t="inlineStr">
        <is>
          <t>J6</t>
        </is>
      </c>
    </row>
    <row r="7">
      <c r="A7" t="inlineStr">
        <is>
          <t>Brais Martínez</t>
        </is>
      </c>
      <c r="B7" s="17" t="n">
        <v>250000</v>
      </c>
      <c r="C7" t="inlineStr">
        <is>
          <t>Diego Murillo</t>
        </is>
      </c>
      <c r="D7" s="7" t="n">
        <v>515000</v>
      </c>
      <c r="E7" t="inlineStr">
        <is>
          <t>Brais Martínez</t>
        </is>
      </c>
      <c r="F7" s="7" t="n">
        <v>218600</v>
      </c>
      <c r="G7" s="2" t="inlineStr">
        <is>
          <t>Saldo Inicial</t>
        </is>
      </c>
      <c r="H7" s="2" t="inlineStr">
        <is>
          <t>Beneficio</t>
        </is>
      </c>
      <c r="I7" s="9" t="n">
        <v>1350000</v>
      </c>
      <c r="J7" t="inlineStr">
        <is>
          <t>J7</t>
        </is>
      </c>
    </row>
    <row r="8">
      <c r="A8" t="inlineStr">
        <is>
          <t>Iván Alejo</t>
        </is>
      </c>
      <c r="B8" s="17" t="n">
        <v>3880000</v>
      </c>
      <c r="C8" t="inlineStr">
        <is>
          <t>Aguirregabiria</t>
        </is>
      </c>
      <c r="D8" s="7" t="n">
        <v>1852000</v>
      </c>
      <c r="E8" t="inlineStr">
        <is>
          <t>Kirian Rodríguez</t>
        </is>
      </c>
      <c r="F8" s="7" t="n">
        <v>3145800</v>
      </c>
      <c r="G8" s="8">
        <f>40000000-B16</f>
        <v/>
      </c>
      <c r="H8" s="9">
        <f>G14-G8+H2-(40000000-G8)-H5</f>
        <v/>
      </c>
      <c r="I8" s="9" t="n"/>
      <c r="J8" s="5" t="inlineStr">
        <is>
          <t>J8</t>
        </is>
      </c>
    </row>
    <row r="9">
      <c r="A9" t="inlineStr">
        <is>
          <t>Jon Magunacelaya</t>
        </is>
      </c>
      <c r="B9" s="17" t="n">
        <v>1630000</v>
      </c>
      <c r="C9" t="inlineStr">
        <is>
          <t>Gustavo Puerta</t>
        </is>
      </c>
      <c r="D9" s="7" t="n">
        <v>4865000</v>
      </c>
      <c r="E9" t="inlineStr">
        <is>
          <t>Dani Escriche</t>
        </is>
      </c>
      <c r="F9" s="7" t="n">
        <v>2000000</v>
      </c>
      <c r="G9" s="2" t="n"/>
      <c r="I9" s="9" t="n"/>
      <c r="J9" t="inlineStr">
        <is>
          <t>J9</t>
        </is>
      </c>
    </row>
    <row r="10">
      <c r="A10" t="inlineStr">
        <is>
          <t>Kirian Rodríguez</t>
        </is>
      </c>
      <c r="B10" s="17" t="n">
        <v>3740000</v>
      </c>
      <c r="C10" t="inlineStr">
        <is>
          <t>Aleix Garrido</t>
        </is>
      </c>
      <c r="D10" s="7" t="n">
        <v>5535000</v>
      </c>
      <c r="E10" t="inlineStr">
        <is>
          <t>Jonathan Viera</t>
        </is>
      </c>
      <c r="F10" s="7" t="n">
        <v>5484700</v>
      </c>
      <c r="G10" s="2" t="inlineStr">
        <is>
          <t>Ofrecer</t>
        </is>
      </c>
      <c r="I10" s="9" t="n"/>
      <c r="J10" s="5" t="inlineStr">
        <is>
          <t>J10</t>
        </is>
      </c>
    </row>
    <row r="11">
      <c r="A11" t="inlineStr">
        <is>
          <t>Escalante</t>
        </is>
      </c>
      <c r="B11" s="17" t="n">
        <v>650000</v>
      </c>
      <c r="C11" t="inlineStr">
        <is>
          <t>Mikel Rodriguez</t>
        </is>
      </c>
      <c r="D11" s="7" t="n">
        <v>1515000</v>
      </c>
      <c r="E11" t="inlineStr">
        <is>
          <t>Gaspar Campos</t>
        </is>
      </c>
      <c r="F11" s="7" t="n">
        <v>2565000</v>
      </c>
      <c r="G11" s="9">
        <f>G14+H2/4</f>
        <v/>
      </c>
      <c r="I11" s="9" t="n"/>
      <c r="J11" t="inlineStr">
        <is>
          <t>J11</t>
        </is>
      </c>
    </row>
    <row r="12">
      <c r="A12" t="inlineStr">
        <is>
          <t>Ramón Enríquez</t>
        </is>
      </c>
      <c r="B12" s="17" t="n">
        <v>160000</v>
      </c>
      <c r="C12" t="inlineStr">
        <is>
          <t>Andrés Fernández</t>
        </is>
      </c>
      <c r="D12" s="7" t="n">
        <v>2956000</v>
      </c>
      <c r="E12" t="inlineStr">
        <is>
          <t>Manu Justo</t>
        </is>
      </c>
      <c r="F12" s="7" t="n">
        <v>884500</v>
      </c>
      <c r="G12" s="2" t="n"/>
      <c r="I12" s="9" t="n"/>
      <c r="J12" s="5" t="inlineStr">
        <is>
          <t>J12</t>
        </is>
      </c>
    </row>
    <row r="13">
      <c r="A13" t="inlineStr">
        <is>
          <t>Dani Escriche</t>
        </is>
      </c>
      <c r="B13" s="17" t="n">
        <v>1140000</v>
      </c>
      <c r="C13" t="inlineStr">
        <is>
          <t>Brian Cipenga</t>
        </is>
      </c>
      <c r="D13" s="7" t="n">
        <v>5800000</v>
      </c>
      <c r="E13" t="inlineStr">
        <is>
          <t>Álex Martín</t>
        </is>
      </c>
      <c r="F13" s="7" t="n">
        <v>426200</v>
      </c>
      <c r="G13" s="2" t="inlineStr">
        <is>
          <t>Presupuesto</t>
        </is>
      </c>
      <c r="I13" s="9" t="n"/>
      <c r="J13" t="inlineStr">
        <is>
          <t>J13</t>
        </is>
      </c>
    </row>
    <row r="14">
      <c r="A14" t="inlineStr">
        <is>
          <t>Gaspar Campos</t>
        </is>
      </c>
      <c r="B14" s="17" t="n">
        <v>2940000</v>
      </c>
      <c r="C14" t="inlineStr">
        <is>
          <t>Peru Nolaskoain</t>
        </is>
      </c>
      <c r="D14" s="7" t="n">
        <v>1285000</v>
      </c>
      <c r="E14" t="inlineStr">
        <is>
          <t>Iván Garriel</t>
        </is>
      </c>
      <c r="F14" s="7" t="n">
        <v>522900</v>
      </c>
      <c r="G14" s="9">
        <f>G8+G5-G2+H5</f>
        <v/>
      </c>
      <c r="I14" s="9" t="n"/>
      <c r="J14" s="5" t="inlineStr">
        <is>
          <t>J14</t>
        </is>
      </c>
    </row>
    <row r="15">
      <c r="A15" t="inlineStr">
        <is>
          <t>Manu Justo</t>
        </is>
      </c>
      <c r="B15" s="17" t="n">
        <v>1030000</v>
      </c>
      <c r="E15" t="inlineStr">
        <is>
          <t>Víctor Aznar</t>
        </is>
      </c>
      <c r="F15" s="7" t="n">
        <v>2052600</v>
      </c>
      <c r="I15" s="9" t="n"/>
      <c r="J15" t="inlineStr">
        <is>
          <t>J15</t>
        </is>
      </c>
    </row>
    <row r="16">
      <c r="B16" s="5" t="n">
        <v>21260000</v>
      </c>
      <c r="E16" t="inlineStr">
        <is>
          <t>Julio Alonso</t>
        </is>
      </c>
      <c r="F16" s="7" t="n">
        <v>2257800</v>
      </c>
      <c r="I16" s="9" t="n"/>
      <c r="J16" s="5" t="inlineStr">
        <is>
          <t>J16</t>
        </is>
      </c>
    </row>
    <row r="17">
      <c r="E17" t="inlineStr">
        <is>
          <t>Iván Alejo</t>
        </is>
      </c>
      <c r="F17" s="7" t="n">
        <v>5800000</v>
      </c>
      <c r="I17" s="9" t="n"/>
      <c r="J17" t="inlineStr">
        <is>
          <t>J17</t>
        </is>
      </c>
    </row>
    <row r="18">
      <c r="E18" t="inlineStr">
        <is>
          <t>Aguirregabiria</t>
        </is>
      </c>
      <c r="F18" s="7" t="n">
        <v>973400</v>
      </c>
      <c r="I18" s="9" t="n"/>
      <c r="J18" s="5" t="inlineStr">
        <is>
          <t>J18</t>
        </is>
      </c>
    </row>
    <row r="19">
      <c r="E19" t="inlineStr">
        <is>
          <t>Aleix Garrido</t>
        </is>
      </c>
      <c r="F19" s="7" t="n">
        <v>4807700</v>
      </c>
      <c r="I19" s="9" t="n"/>
      <c r="J19" t="inlineStr">
        <is>
          <t>J19</t>
        </is>
      </c>
    </row>
    <row r="20">
      <c r="E20" t="inlineStr">
        <is>
          <t>Diego Murillo</t>
        </is>
      </c>
      <c r="F20" s="7" t="n">
        <v>760100</v>
      </c>
      <c r="I20" s="9" t="n"/>
      <c r="J20" s="5" t="inlineStr">
        <is>
          <t>J20</t>
        </is>
      </c>
    </row>
    <row r="21">
      <c r="E21" t="inlineStr">
        <is>
          <t>Diego Murillo</t>
        </is>
      </c>
      <c r="F21" t="n">
        <v>760100</v>
      </c>
      <c r="I21" s="9" t="n"/>
      <c r="J21" t="inlineStr">
        <is>
          <t>J21</t>
        </is>
      </c>
    </row>
    <row r="22">
      <c r="E22" t="inlineStr">
        <is>
          <t>Diego Murillo</t>
        </is>
      </c>
      <c r="F22" t="n">
        <v>760100</v>
      </c>
      <c r="I22" s="9" t="n"/>
      <c r="J22" s="5" t="inlineStr">
        <is>
          <t>J22</t>
        </is>
      </c>
    </row>
    <row r="23">
      <c r="E23" t="inlineStr">
        <is>
          <t>Diego Murillo</t>
        </is>
      </c>
      <c r="F23" t="n">
        <v>760100</v>
      </c>
      <c r="I23" s="9" t="n"/>
      <c r="J23" t="inlineStr">
        <is>
          <t>J23</t>
        </is>
      </c>
    </row>
    <row r="24">
      <c r="E24" t="inlineStr">
        <is>
          <t>Diego Murillo</t>
        </is>
      </c>
      <c r="F24" t="n">
        <v>760100</v>
      </c>
      <c r="I24" s="9" t="n"/>
      <c r="J24" s="5" t="inlineStr">
        <is>
          <t>J24</t>
        </is>
      </c>
    </row>
    <row r="25">
      <c r="I25" s="9" t="n"/>
      <c r="J25" t="inlineStr">
        <is>
          <t>J25</t>
        </is>
      </c>
    </row>
    <row r="26">
      <c r="I26" s="9" t="n"/>
      <c r="J26" s="5" t="inlineStr">
        <is>
          <t>J26</t>
        </is>
      </c>
    </row>
    <row r="27">
      <c r="I27" s="9" t="n"/>
      <c r="J27" t="inlineStr">
        <is>
          <t>J27</t>
        </is>
      </c>
    </row>
    <row r="28">
      <c r="I28" s="9" t="n"/>
      <c r="J28" s="5" t="inlineStr">
        <is>
          <t>J28</t>
        </is>
      </c>
    </row>
    <row r="29">
      <c r="I29" s="9" t="n"/>
      <c r="J29" t="inlineStr">
        <is>
          <t>J29</t>
        </is>
      </c>
    </row>
    <row r="30">
      <c r="I30" s="9" t="n"/>
      <c r="J30" s="5" t="inlineStr">
        <is>
          <t>J30</t>
        </is>
      </c>
    </row>
    <row r="31">
      <c r="I31" s="9" t="n"/>
      <c r="J31" t="inlineStr">
        <is>
          <t>J31</t>
        </is>
      </c>
    </row>
    <row r="32">
      <c r="I32" s="9" t="n"/>
      <c r="J32" s="5" t="inlineStr">
        <is>
          <t>J32</t>
        </is>
      </c>
    </row>
    <row r="33">
      <c r="I33" s="9" t="n"/>
      <c r="J33" t="inlineStr">
        <is>
          <t>J33</t>
        </is>
      </c>
    </row>
    <row r="34">
      <c r="I34" s="9" t="n"/>
      <c r="J34" s="5" t="inlineStr">
        <is>
          <t>J34</t>
        </is>
      </c>
    </row>
    <row r="35">
      <c r="I35" s="9" t="n"/>
      <c r="J35" t="inlineStr">
        <is>
          <t>J35</t>
        </is>
      </c>
    </row>
    <row r="36">
      <c r="I36" s="9" t="n"/>
      <c r="J36" s="5" t="inlineStr">
        <is>
          <t>J36</t>
        </is>
      </c>
    </row>
    <row r="37">
      <c r="I37" s="9" t="n"/>
      <c r="J37" t="inlineStr">
        <is>
          <t>J37</t>
        </is>
      </c>
    </row>
    <row r="38">
      <c r="I38" s="9" t="n"/>
      <c r="J38" s="5" t="inlineStr">
        <is>
          <t>J38</t>
        </is>
      </c>
    </row>
    <row r="39">
      <c r="I39" s="9" t="n"/>
      <c r="J39" t="inlineStr">
        <is>
          <t>J39</t>
        </is>
      </c>
    </row>
    <row r="40">
      <c r="I40" s="9" t="n"/>
      <c r="J40" s="5" t="inlineStr">
        <is>
          <t>J40</t>
        </is>
      </c>
    </row>
    <row r="41">
      <c r="I41" s="9" t="n"/>
      <c r="J41" t="inlineStr">
        <is>
          <t>J41</t>
        </is>
      </c>
    </row>
    <row r="42">
      <c r="I42" s="9" t="n"/>
      <c r="J42" s="5" t="inlineStr">
        <is>
          <t>J42</t>
        </is>
      </c>
    </row>
    <row r="43"/>
    <row r="44"/>
    <row r="45">
      <c r="I45" s="9" t="n"/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r:id="rId14"/>
    <hyperlink xmlns:r="http://schemas.openxmlformats.org/officeDocument/2006/relationships" ref="A15" r:id="rId15"/>
  </hyperlinks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topLeftCell="C1" workbookViewId="0">
      <selection activeCell="G1" sqref="G1:G5"/>
    </sheetView>
  </sheetViews>
  <sheetFormatPr baseColWidth="10" defaultRowHeight="12.5"/>
  <cols>
    <col hidden="1" width="21" customWidth="1" min="1" max="2"/>
    <col width="15.36328125" customWidth="1" min="3" max="3"/>
    <col width="13.08984375" customWidth="1" style="3" min="4" max="4"/>
    <col width="16.7265625" bestFit="1" customWidth="1" min="5" max="5"/>
    <col width="10.90625" customWidth="1" style="3" min="6" max="6"/>
    <col width="14" bestFit="1" customWidth="1" min="7" max="7"/>
    <col width="21.81640625" bestFit="1" customWidth="1" min="8" max="8"/>
    <col width="13.08984375" bestFit="1" customWidth="1" style="4" min="9" max="9"/>
    <col width="2.54296875" bestFit="1" customWidth="1" min="10" max="10"/>
    <col width="18.36328125" bestFit="1" customWidth="1" min="11" max="11"/>
    <col width="10.90625" customWidth="1" min="12" max="12"/>
  </cols>
  <sheetData>
    <row r="1" customFormat="1" s="2">
      <c r="A1" s="2" t="inlineStr">
        <is>
          <t>Jugadores</t>
        </is>
      </c>
      <c r="B1" s="2" t="inlineStr">
        <is>
          <t>Valor dia 0</t>
        </is>
      </c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4" t="inlineStr">
        <is>
          <t>Beneficio</t>
        </is>
      </c>
      <c r="J1" s="5" t="n"/>
      <c r="K1" s="4" t="inlineStr">
        <is>
          <t>Ultima Actualización</t>
        </is>
      </c>
      <c r="L1" s="6">
        <f>TODAY()</f>
        <v/>
      </c>
    </row>
    <row r="2">
      <c r="A2" t="inlineStr">
        <is>
          <t>Juan Soriano</t>
        </is>
      </c>
      <c r="B2" t="n">
        <v>3300000</v>
      </c>
      <c r="C2" t="inlineStr">
        <is>
          <t>Iza Carcelen</t>
        </is>
      </c>
      <c r="D2" s="7" t="n">
        <v>4200000</v>
      </c>
      <c r="E2" t="inlineStr">
        <is>
          <t>Selu Diallo</t>
        </is>
      </c>
      <c r="F2" s="7" t="n">
        <v>649700</v>
      </c>
      <c r="G2" s="8">
        <f>SUM(D:D)</f>
        <v/>
      </c>
      <c r="H2" s="9" t="n">
        <v>37730000</v>
      </c>
      <c r="I2" s="9" t="n">
        <v>1110000</v>
      </c>
      <c r="J2" s="5" t="inlineStr">
        <is>
          <t>J2</t>
        </is>
      </c>
      <c r="K2" s="6" t="n">
        <v>45936</v>
      </c>
    </row>
    <row r="3">
      <c r="A3" t="inlineStr">
        <is>
          <t>Selu Diallo</t>
        </is>
      </c>
      <c r="B3" t="n">
        <v>740000</v>
      </c>
      <c r="C3" t="inlineStr">
        <is>
          <t>Marcos de Sousa</t>
        </is>
      </c>
      <c r="D3" s="7" t="n">
        <v>3000000</v>
      </c>
      <c r="E3" t="inlineStr">
        <is>
          <t>Flakus Bosilj</t>
        </is>
      </c>
      <c r="F3" s="7" t="n">
        <v>466200</v>
      </c>
      <c r="G3" s="2" t="n"/>
      <c r="I3" s="9" t="n">
        <v>1030000</v>
      </c>
      <c r="J3" t="inlineStr">
        <is>
          <t>J3</t>
        </is>
      </c>
    </row>
    <row r="4">
      <c r="A4" t="inlineStr">
        <is>
          <t>Kevin Vázquez</t>
        </is>
      </c>
      <c r="B4" t="n">
        <v>480000</v>
      </c>
      <c r="C4" t="inlineStr">
        <is>
          <t>Chuki</t>
        </is>
      </c>
      <c r="D4" s="7" t="n">
        <v>5000000</v>
      </c>
      <c r="E4" t="inlineStr">
        <is>
          <t>Áron Yaakobishvili</t>
        </is>
      </c>
      <c r="F4" s="7" t="n">
        <v>2000000</v>
      </c>
      <c r="G4" s="2" t="inlineStr">
        <is>
          <t>Ingresado Total</t>
        </is>
      </c>
      <c r="H4" t="inlineStr">
        <is>
          <t>Beneficio Total Jornadas</t>
        </is>
      </c>
      <c r="I4" s="9" t="n">
        <v>920000</v>
      </c>
      <c r="J4" s="5" t="inlineStr">
        <is>
          <t>J4</t>
        </is>
      </c>
      <c r="K4" t="inlineStr">
        <is>
          <t>Compras</t>
        </is>
      </c>
      <c r="L4" s="5">
        <f>COUNT('Real Garrucho'!$D$2:$D$22)</f>
        <v/>
      </c>
    </row>
    <row r="5">
      <c r="A5" t="inlineStr">
        <is>
          <t>Sergio Gonzalez</t>
        </is>
      </c>
      <c r="B5" t="n">
        <v>1650000</v>
      </c>
      <c r="C5" t="inlineStr">
        <is>
          <t>Mateo Mejía</t>
        </is>
      </c>
      <c r="D5" s="7" t="n">
        <v>1190000</v>
      </c>
      <c r="E5" t="inlineStr">
        <is>
          <t>Pau Sans</t>
        </is>
      </c>
      <c r="F5" s="7" t="n">
        <v>1800000</v>
      </c>
      <c r="G5" s="8">
        <f>SUM(F:F)</f>
        <v/>
      </c>
      <c r="H5" s="8">
        <f>SUM('Real Garrucho'!$I$2:$I$43)</f>
        <v/>
      </c>
      <c r="I5" s="9" t="n">
        <v>990000</v>
      </c>
      <c r="J5" t="inlineStr">
        <is>
          <t>J5</t>
        </is>
      </c>
      <c r="K5" t="inlineStr">
        <is>
          <t>Ventas</t>
        </is>
      </c>
      <c r="L5" s="5">
        <f>COUNT('Real Garrucho'!$F$2:$F$26)</f>
        <v/>
      </c>
    </row>
    <row r="6">
      <c r="A6" t="inlineStr">
        <is>
          <t>Iñaki Rupérez</t>
        </is>
      </c>
      <c r="B6" t="n">
        <v>1360000</v>
      </c>
      <c r="C6" t="inlineStr">
        <is>
          <t>David Torres</t>
        </is>
      </c>
      <c r="D6" s="7" t="n">
        <v>6500000</v>
      </c>
      <c r="E6" t="inlineStr">
        <is>
          <t>Pedro Alemañ</t>
        </is>
      </c>
      <c r="F6" s="7" t="n">
        <v>542700</v>
      </c>
      <c r="H6" s="2" t="n"/>
      <c r="I6" s="9" t="n">
        <v>1300000</v>
      </c>
      <c r="J6" s="5" t="inlineStr">
        <is>
          <t>J6</t>
        </is>
      </c>
    </row>
    <row r="7">
      <c r="A7" t="inlineStr">
        <is>
          <t>Yaakobishvili</t>
        </is>
      </c>
      <c r="B7" t="n">
        <v>1160000</v>
      </c>
      <c r="C7" t="inlineStr">
        <is>
          <t>Dani Barcia</t>
        </is>
      </c>
      <c r="D7" s="7" t="n">
        <v>3115000</v>
      </c>
      <c r="E7" t="inlineStr">
        <is>
          <t>Yann Kembo</t>
        </is>
      </c>
      <c r="F7" s="7" t="n">
        <v>143400</v>
      </c>
      <c r="G7" s="2" t="inlineStr">
        <is>
          <t>Saldo Inicial</t>
        </is>
      </c>
      <c r="H7" s="2" t="inlineStr">
        <is>
          <t>Beneficio</t>
        </is>
      </c>
      <c r="J7" t="inlineStr">
        <is>
          <t>J7</t>
        </is>
      </c>
    </row>
    <row r="8">
      <c r="A8" t="inlineStr">
        <is>
          <t>Yann Kembo</t>
        </is>
      </c>
      <c r="B8" t="n">
        <v>160000</v>
      </c>
      <c r="C8" t="inlineStr">
        <is>
          <t>Sergi Enrich</t>
        </is>
      </c>
      <c r="D8" s="7" t="n">
        <v>3515000</v>
      </c>
      <c r="E8" t="inlineStr">
        <is>
          <t>Selim Amallah</t>
        </is>
      </c>
      <c r="F8" s="7" t="n">
        <v>2096900</v>
      </c>
      <c r="G8" s="8" t="n">
        <v>18950000</v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Flakus Bosilj</t>
        </is>
      </c>
      <c r="B9" t="n">
        <v>480000</v>
      </c>
      <c r="C9" t="inlineStr">
        <is>
          <t>Alfred Caicedo</t>
        </is>
      </c>
      <c r="D9" s="7" t="n">
        <v>320000</v>
      </c>
      <c r="E9" t="inlineStr">
        <is>
          <t>Yaakobishvili</t>
        </is>
      </c>
      <c r="F9" s="7" t="n">
        <v>891600</v>
      </c>
      <c r="J9" t="inlineStr">
        <is>
          <t>J9</t>
        </is>
      </c>
    </row>
    <row r="10">
      <c r="A10" t="inlineStr">
        <is>
          <t>Ignacio Martín</t>
        </is>
      </c>
      <c r="B10" t="n">
        <v>2440000</v>
      </c>
      <c r="C10" t="inlineStr">
        <is>
          <t>Pablo Sáenz</t>
        </is>
      </c>
      <c r="D10" s="7" t="n">
        <v>2000000</v>
      </c>
      <c r="E10" t="inlineStr">
        <is>
          <t>Iñaki Rupérez</t>
        </is>
      </c>
      <c r="F10" s="7" t="n">
        <v>1134100</v>
      </c>
      <c r="G10" s="2" t="inlineStr">
        <is>
          <t>Ofrecer</t>
        </is>
      </c>
      <c r="J10" s="5" t="inlineStr">
        <is>
          <t>J10</t>
        </is>
      </c>
    </row>
    <row r="11">
      <c r="A11" t="inlineStr">
        <is>
          <t>Liberto</t>
        </is>
      </c>
      <c r="B11" t="n">
        <v>1040000</v>
      </c>
      <c r="C11" t="inlineStr">
        <is>
          <t>Gregorio Sierra</t>
        </is>
      </c>
      <c r="D11" s="7" t="n">
        <v>3500000</v>
      </c>
      <c r="E11" t="inlineStr">
        <is>
          <t>Sergio Gonzalez</t>
        </is>
      </c>
      <c r="F11" s="7" t="n">
        <v>1216200</v>
      </c>
      <c r="G11" s="9">
        <f>G14+H2/4</f>
        <v/>
      </c>
      <c r="J11" t="inlineStr">
        <is>
          <t>J11</t>
        </is>
      </c>
    </row>
    <row r="12">
      <c r="A12" t="inlineStr">
        <is>
          <t>Selim Amallah</t>
        </is>
      </c>
      <c r="B12" t="n">
        <v>2640000</v>
      </c>
      <c r="C12" t="inlineStr">
        <is>
          <t>Pablo Tomeo</t>
        </is>
      </c>
      <c r="D12" s="7" t="n">
        <v>7500000</v>
      </c>
      <c r="E12" t="inlineStr">
        <is>
          <t>Marcos de Sousa</t>
        </is>
      </c>
      <c r="F12" s="7" t="n">
        <v>1686700</v>
      </c>
      <c r="J12" s="5" t="inlineStr">
        <is>
          <t>J12</t>
        </is>
      </c>
    </row>
    <row r="13">
      <c r="A13" t="inlineStr">
        <is>
          <t>Pedro Alemañ</t>
        </is>
      </c>
      <c r="B13" t="n">
        <v>590000</v>
      </c>
      <c r="C13" t="inlineStr">
        <is>
          <t>Javier Martón</t>
        </is>
      </c>
      <c r="D13" s="7" t="n">
        <v>5620000</v>
      </c>
      <c r="E13" t="inlineStr">
        <is>
          <t>Eddahchouri</t>
        </is>
      </c>
      <c r="F13" s="7" t="n">
        <v>4149400</v>
      </c>
      <c r="G13" s="2" t="inlineStr">
        <is>
          <t>Presupuesto</t>
        </is>
      </c>
      <c r="J13" t="inlineStr">
        <is>
          <t>J13</t>
        </is>
      </c>
    </row>
    <row r="14" customFormat="1" s="19">
      <c r="A14" s="19" t="inlineStr">
        <is>
          <t>Eddahchouri</t>
        </is>
      </c>
      <c r="B14" s="19" t="n">
        <v>3180000</v>
      </c>
      <c r="C14" s="19" t="inlineStr">
        <is>
          <t>Astiazaran</t>
        </is>
      </c>
      <c r="D14" s="20" t="n">
        <v>2700000</v>
      </c>
      <c r="E14" s="19" t="inlineStr">
        <is>
          <t>Mateo Mejía</t>
        </is>
      </c>
      <c r="F14" s="20" t="n">
        <v>1178500</v>
      </c>
      <c r="G14" s="9">
        <f>G8+G5-G2+H5</f>
        <v/>
      </c>
      <c r="I14" s="21" t="n"/>
      <c r="J14" s="22" t="inlineStr">
        <is>
          <t>J14</t>
        </is>
      </c>
    </row>
    <row r="15">
      <c r="A15" t="inlineStr">
        <is>
          <t>Yaakobishvili</t>
        </is>
      </c>
      <c r="B15" t="n">
        <v>210000</v>
      </c>
      <c r="C15" t="inlineStr">
        <is>
          <t>Marc Doménech</t>
        </is>
      </c>
      <c r="D15" s="7" t="n">
        <v>5000000</v>
      </c>
      <c r="E15" t="inlineStr">
        <is>
          <t>Sergi Enrich</t>
        </is>
      </c>
      <c r="F15" s="7" t="n">
        <v>3033800</v>
      </c>
      <c r="J15" t="inlineStr">
        <is>
          <t>J15</t>
        </is>
      </c>
    </row>
    <row r="16">
      <c r="A16" t="inlineStr">
        <is>
          <t>Pau Sans</t>
        </is>
      </c>
      <c r="B16" t="n">
        <v>1620000</v>
      </c>
      <c r="C16" t="inlineStr">
        <is>
          <t>Suso</t>
        </is>
      </c>
      <c r="D16" s="7" t="n">
        <v>6000000</v>
      </c>
      <c r="E16" t="inlineStr">
        <is>
          <t>Dani Barcia</t>
        </is>
      </c>
      <c r="F16" s="7" t="n">
        <v>4680000</v>
      </c>
      <c r="J16" s="5" t="inlineStr">
        <is>
          <t>J16</t>
        </is>
      </c>
    </row>
    <row r="17">
      <c r="B17">
        <f>SUM('Real Garrucho'!$B$2:$B$16)</f>
        <v/>
      </c>
      <c r="C17" t="inlineStr">
        <is>
          <t>Álex Lizancos</t>
        </is>
      </c>
      <c r="D17" s="7" t="n">
        <v>1600000</v>
      </c>
      <c r="E17" t="inlineStr">
        <is>
          <t>Iza Carcelen</t>
        </is>
      </c>
      <c r="F17" s="7" t="n">
        <v>2851400</v>
      </c>
      <c r="J17" t="inlineStr">
        <is>
          <t>J17</t>
        </is>
      </c>
    </row>
    <row r="18">
      <c r="C18" t="inlineStr">
        <is>
          <t>Bassinga</t>
        </is>
      </c>
      <c r="D18" s="7" t="n">
        <v>330000</v>
      </c>
      <c r="E18" t="inlineStr">
        <is>
          <t>Ignacio Martín</t>
        </is>
      </c>
      <c r="F18" s="7" t="n">
        <v>2919800</v>
      </c>
      <c r="J18" s="5" t="inlineStr">
        <is>
          <t>J18</t>
        </is>
      </c>
    </row>
    <row r="19">
      <c r="C19" t="inlineStr">
        <is>
          <t>Jesús Álvarez</t>
        </is>
      </c>
      <c r="D19" s="7" t="n">
        <v>1200000</v>
      </c>
      <c r="E19" t="inlineStr">
        <is>
          <t>Liberto</t>
        </is>
      </c>
      <c r="F19" s="7" t="n">
        <v>1319300</v>
      </c>
      <c r="J19" t="inlineStr">
        <is>
          <t>J19</t>
        </is>
      </c>
    </row>
    <row r="20">
      <c r="C20" t="inlineStr">
        <is>
          <t>Quagliata</t>
        </is>
      </c>
      <c r="D20" s="7" t="n">
        <v>1900000</v>
      </c>
      <c r="E20" t="inlineStr">
        <is>
          <t>Chuki</t>
        </is>
      </c>
      <c r="F20" s="7" t="n">
        <v>5048700</v>
      </c>
      <c r="J20" s="5" t="inlineStr">
        <is>
          <t>J20</t>
        </is>
      </c>
    </row>
    <row r="21">
      <c r="C21" t="inlineStr">
        <is>
          <t>Théo Zidane</t>
        </is>
      </c>
      <c r="D21" s="7" t="n">
        <v>1610000</v>
      </c>
      <c r="E21" t="inlineStr">
        <is>
          <t>Pablo Sáenz</t>
        </is>
      </c>
      <c r="F21" s="7" t="n">
        <v>1732300</v>
      </c>
      <c r="J21" t="inlineStr">
        <is>
          <t>J21</t>
        </is>
      </c>
    </row>
    <row r="22">
      <c r="C22" t="inlineStr">
        <is>
          <t>Iván Alejo</t>
        </is>
      </c>
      <c r="D22" s="7" t="n">
        <v>5800000</v>
      </c>
      <c r="E22" t="inlineStr">
        <is>
          <t>Kevin Vázquez</t>
        </is>
      </c>
      <c r="F22" s="7" t="n">
        <v>418100</v>
      </c>
      <c r="J22" s="5" t="inlineStr">
        <is>
          <t>J22</t>
        </is>
      </c>
    </row>
    <row r="23">
      <c r="E23" t="inlineStr">
        <is>
          <t>Astiazaran</t>
        </is>
      </c>
      <c r="F23" s="7" t="n">
        <v>2800000</v>
      </c>
      <c r="J23" t="inlineStr">
        <is>
          <t>J23</t>
        </is>
      </c>
    </row>
    <row r="24">
      <c r="E24" t="inlineStr">
        <is>
          <t>Alfred Caicedo</t>
        </is>
      </c>
      <c r="F24" s="7" t="n">
        <v>316100</v>
      </c>
      <c r="J24" s="5" t="inlineStr">
        <is>
          <t>J24</t>
        </is>
      </c>
    </row>
    <row r="25">
      <c r="E25" t="inlineStr">
        <is>
          <t>Marc Doménech</t>
        </is>
      </c>
      <c r="F25" s="7" t="n">
        <v>3843200</v>
      </c>
      <c r="J25" t="inlineStr">
        <is>
          <t>J25</t>
        </is>
      </c>
    </row>
    <row r="26">
      <c r="E26" t="inlineStr">
        <is>
          <t>Théo Zidane</t>
        </is>
      </c>
      <c r="F26" s="7" t="n">
        <v>1460300</v>
      </c>
      <c r="J26" s="5" t="inlineStr">
        <is>
          <t>J26</t>
        </is>
      </c>
    </row>
    <row r="27">
      <c r="J27" t="inlineStr">
        <is>
          <t>J27</t>
        </is>
      </c>
    </row>
    <row r="28">
      <c r="J28" s="5" t="inlineStr">
        <is>
          <t>J28</t>
        </is>
      </c>
    </row>
    <row r="29">
      <c r="J29" t="inlineStr">
        <is>
          <t>J29</t>
        </is>
      </c>
    </row>
    <row r="30">
      <c r="J30" s="5" t="inlineStr">
        <is>
          <t>J30</t>
        </is>
      </c>
    </row>
    <row r="31">
      <c r="J31" t="inlineStr">
        <is>
          <t>J31</t>
        </is>
      </c>
    </row>
    <row r="32">
      <c r="J32" s="5" t="inlineStr">
        <is>
          <t>J32</t>
        </is>
      </c>
    </row>
    <row r="33">
      <c r="J33" t="inlineStr">
        <is>
          <t>J33</t>
        </is>
      </c>
    </row>
    <row r="34">
      <c r="J34" s="5" t="inlineStr">
        <is>
          <t>J34</t>
        </is>
      </c>
    </row>
    <row r="35">
      <c r="J35" t="inlineStr">
        <is>
          <t>J35</t>
        </is>
      </c>
    </row>
    <row r="36">
      <c r="J36" s="5" t="inlineStr">
        <is>
          <t>J36</t>
        </is>
      </c>
    </row>
    <row r="37">
      <c r="J37" t="inlineStr">
        <is>
          <t>J37</t>
        </is>
      </c>
    </row>
    <row r="38">
      <c r="J38" s="5" t="inlineStr">
        <is>
          <t>J38</t>
        </is>
      </c>
    </row>
    <row r="39">
      <c r="J39" t="inlineStr">
        <is>
          <t>J39</t>
        </is>
      </c>
    </row>
    <row r="40">
      <c r="J40" s="5" t="inlineStr">
        <is>
          <t>J40</t>
        </is>
      </c>
    </row>
    <row r="41">
      <c r="J41" t="inlineStr">
        <is>
          <t>J41</t>
        </is>
      </c>
    </row>
    <row r="42">
      <c r="J42" s="5" t="inlineStr">
        <is>
          <t>J42</t>
        </is>
      </c>
    </row>
    <row r="43">
      <c r="I43" s="9" t="n">
        <v>-1000000</v>
      </c>
      <c r="J43" t="inlineStr">
        <is>
          <t>Gracieta 16M</t>
        </is>
      </c>
    </row>
    <row r="44">
      <c r="I44" s="9" t="n"/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G2" sqref="G2"/>
    </sheetView>
  </sheetViews>
  <sheetFormatPr baseColWidth="10" defaultRowHeight="12.5"/>
  <cols>
    <col hidden="1" width="15.81640625" customWidth="1" min="1" max="1"/>
    <col hidden="1" width="10.08984375" customWidth="1" min="2" max="2"/>
    <col width="12.81640625" bestFit="1" customWidth="1" min="3" max="3"/>
    <col width="10.90625" customWidth="1" style="3" min="4" max="4"/>
    <col width="14.54296875" customWidth="1" min="5" max="5"/>
    <col width="10.90625" customWidth="1" style="3" min="6" max="6"/>
    <col width="14" bestFit="1" customWidth="1" min="7" max="7"/>
    <col width="21.81640625" bestFit="1" customWidth="1" min="8" max="8"/>
    <col width="14.1796875" bestFit="1" customWidth="1" style="4" min="9" max="9"/>
    <col width="2.54296875" bestFit="1" customWidth="1" min="10" max="10"/>
    <col width="18.36328125" bestFit="1" customWidth="1" min="11" max="11"/>
    <col width="10.90625" customWidth="1" min="12" max="12"/>
  </cols>
  <sheetData>
    <row r="1" customFormat="1" s="2">
      <c r="B1" s="2" t="inlineStr">
        <is>
          <t>Valor Dia 0</t>
        </is>
      </c>
      <c r="C1" s="2" t="inlineStr">
        <is>
          <t>Altas</t>
        </is>
      </c>
      <c r="D1" s="3" t="inlineStr">
        <is>
          <t>Gastado</t>
        </is>
      </c>
      <c r="E1" s="2" t="inlineStr">
        <is>
          <t>Bajas</t>
        </is>
      </c>
      <c r="F1" s="3" t="inlineStr">
        <is>
          <t>Ingresado</t>
        </is>
      </c>
      <c r="G1" s="2" t="inlineStr">
        <is>
          <t>Gastado Total</t>
        </is>
      </c>
      <c r="H1" t="inlineStr">
        <is>
          <t>Valor Plantilla Actual</t>
        </is>
      </c>
      <c r="I1" s="4" t="inlineStr">
        <is>
          <t>Beneficio J</t>
        </is>
      </c>
      <c r="J1" s="5" t="n"/>
      <c r="K1" s="4" t="inlineStr">
        <is>
          <t>Ultima Actualización</t>
        </is>
      </c>
      <c r="L1" s="6">
        <f>TODAY()</f>
        <v/>
      </c>
    </row>
    <row r="2">
      <c r="A2" t="inlineStr">
        <is>
          <t>Miguel Bañuz</t>
        </is>
      </c>
      <c r="B2" t="n">
        <v>380000</v>
      </c>
      <c r="D2" s="7" t="n"/>
      <c r="E2" s="5" t="inlineStr">
        <is>
          <t>Miguel Atienza</t>
        </is>
      </c>
      <c r="F2" s="7" t="n">
        <v>3520000</v>
      </c>
      <c r="G2" s="9">
        <f>SUM(D:D)</f>
        <v/>
      </c>
      <c r="H2" s="9" t="n">
        <v>11480000</v>
      </c>
      <c r="I2" s="9" t="n">
        <v>1310000</v>
      </c>
      <c r="J2" s="5" t="inlineStr">
        <is>
          <t>J2</t>
        </is>
      </c>
      <c r="K2" s="6" t="n">
        <v>45936</v>
      </c>
    </row>
    <row r="3">
      <c r="A3" t="inlineStr">
        <is>
          <t>Eric Puerto</t>
        </is>
      </c>
      <c r="B3" t="n">
        <v>220000</v>
      </c>
      <c r="G3" s="2" t="n"/>
      <c r="I3" s="9" t="n">
        <v>1370000</v>
      </c>
      <c r="J3" t="inlineStr">
        <is>
          <t>J3</t>
        </is>
      </c>
    </row>
    <row r="4">
      <c r="A4" t="inlineStr">
        <is>
          <t>Redruello</t>
        </is>
      </c>
      <c r="B4" t="n">
        <v>1240000</v>
      </c>
      <c r="G4" s="2" t="inlineStr">
        <is>
          <t>Ingresado Total</t>
        </is>
      </c>
      <c r="H4" s="2" t="inlineStr">
        <is>
          <t>Beneficio Total Jornadas</t>
        </is>
      </c>
      <c r="I4" s="9" t="n">
        <v>1530000</v>
      </c>
      <c r="J4" s="5" t="inlineStr">
        <is>
          <t>J4</t>
        </is>
      </c>
      <c r="K4" t="inlineStr">
        <is>
          <t>Compras</t>
        </is>
      </c>
      <c r="L4" s="5">
        <f>COUNT('Tuma Tuma Nin'!$D$2)</f>
        <v/>
      </c>
    </row>
    <row r="5">
      <c r="A5" t="inlineStr">
        <is>
          <t>Mario García</t>
        </is>
      </c>
      <c r="B5" t="n">
        <v>2820000</v>
      </c>
      <c r="G5" s="9">
        <f>SUM(F:F)</f>
        <v/>
      </c>
      <c r="H5" s="8">
        <f>SUM('Tuma Tuma Nin'!$I$2:$I$7)</f>
        <v/>
      </c>
      <c r="I5" s="9" t="n">
        <v>1040000</v>
      </c>
      <c r="J5" t="inlineStr">
        <is>
          <t>J5</t>
        </is>
      </c>
      <c r="K5" t="inlineStr">
        <is>
          <t>Ventas</t>
        </is>
      </c>
      <c r="L5" s="5">
        <f>COUNT('Tuma Tuma Nin'!$F$2)</f>
        <v/>
      </c>
    </row>
    <row r="6">
      <c r="A6" t="inlineStr">
        <is>
          <t>Javi Sánchez</t>
        </is>
      </c>
      <c r="B6" t="n">
        <v>2710000</v>
      </c>
      <c r="I6" s="9" t="n">
        <v>1530000</v>
      </c>
      <c r="J6" s="5" t="inlineStr">
        <is>
          <t>J6</t>
        </is>
      </c>
    </row>
    <row r="7">
      <c r="A7" t="inlineStr">
        <is>
          <t>Matos</t>
        </is>
      </c>
      <c r="B7" t="n">
        <v>1820000</v>
      </c>
      <c r="G7" s="2" t="inlineStr">
        <is>
          <t>Saldo Inicial</t>
        </is>
      </c>
      <c r="H7" s="2" t="inlineStr">
        <is>
          <t>Beneficio</t>
        </is>
      </c>
      <c r="I7" s="9" t="n">
        <v>1530000</v>
      </c>
      <c r="J7" t="inlineStr">
        <is>
          <t>J7</t>
        </is>
      </c>
    </row>
    <row r="8">
      <c r="A8" t="inlineStr">
        <is>
          <t>Astigarraga</t>
        </is>
      </c>
      <c r="B8" t="n">
        <v>180000</v>
      </c>
      <c r="G8" s="8" t="n">
        <v>16800000</v>
      </c>
      <c r="H8" s="9">
        <f>G14-G8+H2-(40000000-G8)-H5</f>
        <v/>
      </c>
      <c r="J8" s="5" t="inlineStr">
        <is>
          <t>J8</t>
        </is>
      </c>
    </row>
    <row r="9">
      <c r="A9" t="inlineStr">
        <is>
          <t>Miguel Atienza</t>
        </is>
      </c>
      <c r="B9" t="n">
        <v>2910000</v>
      </c>
      <c r="J9" t="inlineStr">
        <is>
          <t>J9</t>
        </is>
      </c>
    </row>
    <row r="10">
      <c r="A10" t="inlineStr">
        <is>
          <t>Roberto López</t>
        </is>
      </c>
      <c r="B10" t="n">
        <v>3810000</v>
      </c>
      <c r="G10" s="2" t="inlineStr">
        <is>
          <t>Ofrecer</t>
        </is>
      </c>
      <c r="J10" s="5" t="inlineStr">
        <is>
          <t>J10</t>
        </is>
      </c>
    </row>
    <row r="11">
      <c r="A11" t="inlineStr">
        <is>
          <t>Théo Le Normand</t>
        </is>
      </c>
      <c r="B11" t="n">
        <v>590000</v>
      </c>
      <c r="G11" s="9">
        <f>G14+H2/4</f>
        <v/>
      </c>
      <c r="J11" t="inlineStr">
        <is>
          <t>J11</t>
        </is>
      </c>
    </row>
    <row r="12">
      <c r="A12" t="inlineStr">
        <is>
          <t>Lucas Robertone</t>
        </is>
      </c>
      <c r="B12" t="n">
        <v>2580000</v>
      </c>
      <c r="J12" s="5" t="inlineStr">
        <is>
          <t>J12</t>
        </is>
      </c>
    </row>
    <row r="13">
      <c r="A13" t="inlineStr">
        <is>
          <t>Rafa Rodríguez</t>
        </is>
      </c>
      <c r="B13" t="n">
        <v>2580000</v>
      </c>
      <c r="G13" s="2" t="inlineStr">
        <is>
          <t>Presupuesto</t>
        </is>
      </c>
      <c r="J13" t="inlineStr">
        <is>
          <t>J13</t>
        </is>
      </c>
    </row>
    <row r="14">
      <c r="A14" t="inlineStr">
        <is>
          <t>Nick Markanich</t>
        </is>
      </c>
      <c r="B14" t="n">
        <v>600000</v>
      </c>
      <c r="G14" s="9">
        <f>G8+G5-G2+H5</f>
        <v/>
      </c>
      <c r="J14" s="5" t="inlineStr">
        <is>
          <t>J14</t>
        </is>
      </c>
    </row>
    <row r="15">
      <c r="A15" t="inlineStr">
        <is>
          <t>Cristian Herrera</t>
        </is>
      </c>
      <c r="B15" t="n">
        <v>430000</v>
      </c>
      <c r="J15" t="inlineStr">
        <is>
          <t>J15</t>
        </is>
      </c>
    </row>
    <row r="16">
      <c r="A16" t="inlineStr">
        <is>
          <t>Aitor Uzkudun</t>
        </is>
      </c>
      <c r="B16" t="n">
        <v>330000</v>
      </c>
      <c r="J16" s="5" t="inlineStr">
        <is>
          <t>J16</t>
        </is>
      </c>
    </row>
    <row r="17">
      <c r="B17" t="n">
        <v>23200000</v>
      </c>
      <c r="J17" t="inlineStr">
        <is>
          <t>J17</t>
        </is>
      </c>
    </row>
    <row r="18">
      <c r="J18" s="5" t="inlineStr">
        <is>
          <t>J18</t>
        </is>
      </c>
    </row>
    <row r="19">
      <c r="J19" t="inlineStr">
        <is>
          <t>J19</t>
        </is>
      </c>
    </row>
    <row r="20">
      <c r="J20" s="5" t="inlineStr">
        <is>
          <t>J20</t>
        </is>
      </c>
    </row>
    <row r="21">
      <c r="J21" t="inlineStr">
        <is>
          <t>J21</t>
        </is>
      </c>
    </row>
    <row r="22">
      <c r="J22" s="5" t="inlineStr">
        <is>
          <t>J22</t>
        </is>
      </c>
    </row>
    <row r="23">
      <c r="J23" t="inlineStr">
        <is>
          <t>J23</t>
        </is>
      </c>
    </row>
    <row r="24">
      <c r="J24" s="5" t="inlineStr">
        <is>
          <t>J24</t>
        </is>
      </c>
    </row>
    <row r="25">
      <c r="J25" t="inlineStr">
        <is>
          <t>J25</t>
        </is>
      </c>
    </row>
    <row r="26">
      <c r="J26" s="5" t="inlineStr">
        <is>
          <t>J26</t>
        </is>
      </c>
    </row>
    <row r="27">
      <c r="J27" t="inlineStr">
        <is>
          <t>J27</t>
        </is>
      </c>
    </row>
    <row r="28">
      <c r="J28" s="5" t="inlineStr">
        <is>
          <t>J28</t>
        </is>
      </c>
    </row>
    <row r="29">
      <c r="J29" t="inlineStr">
        <is>
          <t>J29</t>
        </is>
      </c>
    </row>
    <row r="30">
      <c r="J30" s="5" t="inlineStr">
        <is>
          <t>J30</t>
        </is>
      </c>
    </row>
    <row r="31">
      <c r="J31" t="inlineStr">
        <is>
          <t>J31</t>
        </is>
      </c>
    </row>
    <row r="32">
      <c r="J32" s="5" t="inlineStr">
        <is>
          <t>J32</t>
        </is>
      </c>
    </row>
    <row r="33">
      <c r="J33" t="inlineStr">
        <is>
          <t>J33</t>
        </is>
      </c>
    </row>
    <row r="34">
      <c r="J34" s="5" t="inlineStr">
        <is>
          <t>J34</t>
        </is>
      </c>
    </row>
    <row r="35">
      <c r="J35" t="inlineStr">
        <is>
          <t>J35</t>
        </is>
      </c>
    </row>
    <row r="36">
      <c r="J36" s="5" t="inlineStr">
        <is>
          <t>J36</t>
        </is>
      </c>
    </row>
    <row r="37">
      <c r="J37" t="inlineStr">
        <is>
          <t>J37</t>
        </is>
      </c>
    </row>
    <row r="38">
      <c r="J38" s="5" t="inlineStr">
        <is>
          <t>J38</t>
        </is>
      </c>
    </row>
    <row r="39">
      <c r="J39" t="inlineStr">
        <is>
          <t>J39</t>
        </is>
      </c>
    </row>
    <row r="40">
      <c r="J40" s="5" t="inlineStr">
        <is>
          <t>J40</t>
        </is>
      </c>
    </row>
    <row r="41">
      <c r="J41" t="inlineStr">
        <is>
          <t>J41</t>
        </is>
      </c>
    </row>
    <row r="42">
      <c r="J42" s="5" t="inlineStr">
        <is>
          <t>J42</t>
        </is>
      </c>
    </row>
  </sheetData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10" defaultRowHeight="12.5"/>
  <cols>
    <col width="19.08984375" bestFit="1" customWidth="1" min="1" max="1"/>
    <col width="10.90625" customWidth="1" min="2" max="2"/>
  </cols>
  <sheetData>
    <row r="1">
      <c r="A1" t="inlineStr">
        <is>
          <t>Jugador</t>
        </is>
      </c>
      <c r="B1" t="inlineStr">
        <is>
          <t>ID</t>
        </is>
      </c>
    </row>
    <row r="2">
      <c r="A2" t="inlineStr">
        <is>
          <t>Villalibre</t>
        </is>
      </c>
      <c r="B2" t="n">
        <v>1</v>
      </c>
    </row>
    <row r="3">
      <c r="A3" t="inlineStr">
        <is>
          <t>Agus Medina</t>
        </is>
      </c>
      <c r="B3" t="n">
        <v>2</v>
      </c>
    </row>
    <row r="4">
      <c r="A4" t="inlineStr">
        <is>
          <t>César Gelabert</t>
        </is>
      </c>
      <c r="B4" t="n">
        <v>3</v>
      </c>
    </row>
    <row r="5">
      <c r="A5" t="inlineStr">
        <is>
          <t>Javier Martón</t>
        </is>
      </c>
      <c r="B5" t="n">
        <v>4</v>
      </c>
    </row>
    <row r="6">
      <c r="A6" t="inlineStr">
        <is>
          <t>Anaitz Arbilla</t>
        </is>
      </c>
      <c r="B6" t="n">
        <v>5</v>
      </c>
    </row>
    <row r="7">
      <c r="A7" t="inlineStr">
        <is>
          <t>Ale García</t>
        </is>
      </c>
      <c r="B7" t="n">
        <v>6</v>
      </c>
    </row>
    <row r="8">
      <c r="A8" t="inlineStr">
        <is>
          <t>Andrés Martín</t>
        </is>
      </c>
      <c r="B8" t="n">
        <v>7</v>
      </c>
    </row>
    <row r="9">
      <c r="A9" t="inlineStr">
        <is>
          <t>Jon Morcillo</t>
        </is>
      </c>
      <c r="B9" t="n">
        <v>8</v>
      </c>
    </row>
    <row r="10">
      <c r="A10" t="inlineStr">
        <is>
          <t>Chuki</t>
        </is>
      </c>
      <c r="B10" t="n">
        <v>9</v>
      </c>
    </row>
    <row r="11">
      <c r="A11" t="inlineStr">
        <is>
          <t>Amath</t>
        </is>
      </c>
      <c r="B11" t="n">
        <v>10</v>
      </c>
    </row>
    <row r="12">
      <c r="A12" t="inlineStr">
        <is>
          <t>Enrique Clemente</t>
        </is>
      </c>
      <c r="B12" t="n">
        <v>11</v>
      </c>
    </row>
    <row r="13">
      <c r="A13" t="inlineStr">
        <is>
          <t>Léo Baptistão</t>
        </is>
      </c>
      <c r="B13" t="n">
        <v>12</v>
      </c>
    </row>
    <row r="14">
      <c r="A14" t="inlineStr">
        <is>
          <t>Stipe Biuk</t>
        </is>
      </c>
      <c r="B14" t="n">
        <v>13</v>
      </c>
    </row>
    <row r="15">
      <c r="A15" t="inlineStr">
        <is>
          <t>Gael Alonso</t>
        </is>
      </c>
      <c r="B15" t="n">
        <v>14</v>
      </c>
    </row>
    <row r="16">
      <c r="A16" t="inlineStr">
        <is>
          <t>Álvaro Rodríguez</t>
        </is>
      </c>
      <c r="B16" t="n">
        <v>15</v>
      </c>
    </row>
    <row r="17">
      <c r="A17" t="inlineStr">
        <is>
          <t>Iñigo Vicente</t>
        </is>
      </c>
      <c r="B17" t="n">
        <v>16</v>
      </c>
    </row>
    <row r="18">
      <c r="A18" t="inlineStr">
        <is>
          <t>Jonathan Dubasin</t>
        </is>
      </c>
      <c r="B18" t="n">
        <v>17</v>
      </c>
    </row>
    <row r="19">
      <c r="A19" t="inlineStr">
        <is>
          <t>Mario Soriano</t>
        </is>
      </c>
      <c r="B19" t="n">
        <v>18</v>
      </c>
    </row>
    <row r="20">
      <c r="A20" t="inlineStr">
        <is>
          <t>Curro</t>
        </is>
      </c>
      <c r="B20" t="n">
        <v>19</v>
      </c>
    </row>
    <row r="21">
      <c r="A21" t="inlineStr">
        <is>
          <t>Juanmi Latasa</t>
        </is>
      </c>
      <c r="B21" t="n">
        <v>20</v>
      </c>
    </row>
    <row r="22">
      <c r="A22" t="inlineStr">
        <is>
          <t>Pablo Tomeo</t>
        </is>
      </c>
      <c r="B22" t="n">
        <v>21</v>
      </c>
    </row>
    <row r="23">
      <c r="A23" t="inlineStr">
        <is>
          <t>Antonio Puertas</t>
        </is>
      </c>
      <c r="B23" t="n">
        <v>22</v>
      </c>
    </row>
    <row r="24">
      <c r="A24" t="inlineStr">
        <is>
          <t>Aleix Garrido</t>
        </is>
      </c>
      <c r="B24" t="n">
        <v>23</v>
      </c>
    </row>
    <row r="25">
      <c r="A25" t="inlineStr">
        <is>
          <t>Fer Niño</t>
        </is>
      </c>
      <c r="B25" t="n">
        <v>24</v>
      </c>
    </row>
    <row r="26">
      <c r="A26" t="inlineStr">
        <is>
          <t>Sergio Escudero</t>
        </is>
      </c>
      <c r="B26" t="n">
        <v>25</v>
      </c>
    </row>
    <row r="27">
      <c r="A27" t="inlineStr">
        <is>
          <t>Álex Pastor</t>
        </is>
      </c>
      <c r="B27" t="n">
        <v>26</v>
      </c>
    </row>
    <row r="28">
      <c r="A28" t="inlineStr">
        <is>
          <t>Sergio Arribas</t>
        </is>
      </c>
      <c r="B28" t="n">
        <v>27</v>
      </c>
    </row>
    <row r="29">
      <c r="A29" t="inlineStr">
        <is>
          <t>Juan Otero</t>
        </is>
      </c>
      <c r="B29" t="n">
        <v>28</v>
      </c>
    </row>
    <row r="30">
      <c r="A30" t="inlineStr">
        <is>
          <t>Embarba</t>
        </is>
      </c>
      <c r="B30" t="n">
        <v>29</v>
      </c>
    </row>
    <row r="31">
      <c r="A31" t="inlineStr">
        <is>
          <t>Milos Lukovic</t>
        </is>
      </c>
      <c r="B31" t="n">
        <v>30</v>
      </c>
    </row>
    <row r="32">
      <c r="A32" t="inlineStr">
        <is>
          <t>Rúben Yáñez</t>
        </is>
      </c>
      <c r="B32" t="n">
        <v>31</v>
      </c>
    </row>
    <row r="33">
      <c r="A33" t="inlineStr">
        <is>
          <t>Eddahchouri</t>
        </is>
      </c>
      <c r="B33" t="n">
        <v>32</v>
      </c>
    </row>
    <row r="34">
      <c r="A34" t="inlineStr">
        <is>
          <t>Iván Alejo</t>
        </is>
      </c>
      <c r="B34" t="n">
        <v>33</v>
      </c>
    </row>
    <row r="35">
      <c r="A35" t="inlineStr">
        <is>
          <t>Manu Hernando</t>
        </is>
      </c>
      <c r="B35" t="n">
        <v>34</v>
      </c>
    </row>
    <row r="36">
      <c r="A36" t="inlineStr">
        <is>
          <t>Lautaro de León</t>
        </is>
      </c>
      <c r="B36" t="n">
        <v>35</v>
      </c>
    </row>
    <row r="37">
      <c r="A37" t="inlineStr">
        <is>
          <t>Samed Bazdar</t>
        </is>
      </c>
      <c r="B37" t="n">
        <v>36</v>
      </c>
    </row>
    <row r="38">
      <c r="A38" t="inlineStr">
        <is>
          <t>De La Fuente</t>
        </is>
      </c>
      <c r="B38" t="n">
        <v>37</v>
      </c>
    </row>
    <row r="39">
      <c r="A39" t="inlineStr">
        <is>
          <t>Iker Kortajarena</t>
        </is>
      </c>
      <c r="B39" t="n">
        <v>38</v>
      </c>
    </row>
    <row r="40">
      <c r="A40" t="inlineStr">
        <is>
          <t>Hongla</t>
        </is>
      </c>
      <c r="B40" t="n">
        <v>39</v>
      </c>
    </row>
    <row r="41">
      <c r="A41" t="inlineStr">
        <is>
          <t>Lucas Perrin</t>
        </is>
      </c>
      <c r="B41" t="n">
        <v>40</v>
      </c>
    </row>
    <row r="42">
      <c r="A42" t="inlineStr">
        <is>
          <t>Dani Jiménez</t>
        </is>
      </c>
      <c r="B42" t="n">
        <v>41</v>
      </c>
    </row>
    <row r="43">
      <c r="A43" t="inlineStr">
        <is>
          <t>Pablo Vázquez</t>
        </is>
      </c>
      <c r="B43" t="n">
        <v>42</v>
      </c>
    </row>
    <row r="44">
      <c r="A44" t="inlineStr">
        <is>
          <t>Guille Bueno</t>
        </is>
      </c>
      <c r="B44" t="n">
        <v>43</v>
      </c>
    </row>
    <row r="45">
      <c r="A45" t="inlineStr">
        <is>
          <t>Aitor Fraga</t>
        </is>
      </c>
      <c r="B45" t="n">
        <v>44</v>
      </c>
    </row>
    <row r="46">
      <c r="A46" t="inlineStr">
        <is>
          <t>David Torres</t>
        </is>
      </c>
      <c r="B46" t="n">
        <v>45</v>
      </c>
    </row>
    <row r="47">
      <c r="A47" t="inlineStr">
        <is>
          <t>Duk</t>
        </is>
      </c>
      <c r="B47" t="n">
        <v>46</v>
      </c>
    </row>
    <row r="48">
      <c r="A48" t="inlineStr">
        <is>
          <t>Sergi Enrich</t>
        </is>
      </c>
      <c r="B48" t="n">
        <v>47</v>
      </c>
    </row>
    <row r="49">
      <c r="A49" t="inlineStr">
        <is>
          <t>Job Ochieng</t>
        </is>
      </c>
      <c r="B49" t="n">
        <v>48</v>
      </c>
    </row>
    <row r="50">
      <c r="A50" t="inlineStr">
        <is>
          <t>Rafa Rodríguez</t>
        </is>
      </c>
      <c r="B50" t="n">
        <v>49</v>
      </c>
    </row>
    <row r="51">
      <c r="A51" t="inlineStr">
        <is>
          <t>Óscar Sielva</t>
        </is>
      </c>
      <c r="B51" t="n">
        <v>50</v>
      </c>
    </row>
    <row r="52">
      <c r="A52" t="inlineStr">
        <is>
          <t>Dion Lopy</t>
        </is>
      </c>
      <c r="B52" t="n">
        <v>51</v>
      </c>
    </row>
    <row r="53">
      <c r="A53" t="inlineStr">
        <is>
          <t>José Corpas</t>
        </is>
      </c>
      <c r="B53" t="n">
        <v>52</v>
      </c>
    </row>
    <row r="54">
      <c r="A54" t="inlineStr">
        <is>
          <t>Stanko Juric</t>
        </is>
      </c>
      <c r="B54" t="n">
        <v>53</v>
      </c>
    </row>
    <row r="55">
      <c r="A55" t="inlineStr">
        <is>
          <t>Miguel Atienza</t>
        </is>
      </c>
      <c r="B55" t="n">
        <v>54</v>
      </c>
    </row>
    <row r="56">
      <c r="A56" t="inlineStr">
        <is>
          <t>Gregorio Sierra</t>
        </is>
      </c>
      <c r="B56" t="n">
        <v>55</v>
      </c>
    </row>
    <row r="57">
      <c r="A57" t="inlineStr">
        <is>
          <t>Iván Morante</t>
        </is>
      </c>
      <c r="B57" t="n">
        <v>56</v>
      </c>
    </row>
    <row r="58">
      <c r="A58" t="inlineStr">
        <is>
          <t>David González</t>
        </is>
      </c>
      <c r="B58" t="n">
        <v>57</v>
      </c>
    </row>
    <row r="59">
      <c r="A59" t="inlineStr">
        <is>
          <t>Guilherme Fernandes</t>
        </is>
      </c>
      <c r="B59" t="n">
        <v>58</v>
      </c>
    </row>
    <row r="60">
      <c r="A60" t="inlineStr">
        <is>
          <t>Fran Gámez</t>
        </is>
      </c>
      <c r="B60" t="n">
        <v>59</v>
      </c>
    </row>
    <row r="61">
      <c r="A61" t="inlineStr">
        <is>
          <t>Brian Ocampo</t>
        </is>
      </c>
      <c r="B61" t="n">
        <v>60</v>
      </c>
    </row>
    <row r="62">
      <c r="A62" t="inlineStr">
        <is>
          <t>Luken Beitia</t>
        </is>
      </c>
      <c r="B62" t="n">
        <v>61</v>
      </c>
    </row>
    <row r="63">
      <c r="A63" t="inlineStr">
        <is>
          <t>Áron Yaakobishvili</t>
        </is>
      </c>
      <c r="B63" t="n">
        <v>62</v>
      </c>
    </row>
    <row r="64">
      <c r="A64" t="inlineStr">
        <is>
          <t>Dani Escriche</t>
        </is>
      </c>
      <c r="B64" t="n">
        <v>63</v>
      </c>
    </row>
    <row r="65">
      <c r="A65" t="inlineStr">
        <is>
          <t>Alberto Dadie</t>
        </is>
      </c>
      <c r="B65" t="n">
        <v>64</v>
      </c>
    </row>
    <row r="66">
      <c r="A66" t="inlineStr">
        <is>
          <t>David Larrubia</t>
        </is>
      </c>
      <c r="B66" t="n">
        <v>65</v>
      </c>
    </row>
    <row r="67">
      <c r="A67" t="inlineStr">
        <is>
          <t>Manuel Fuster</t>
        </is>
      </c>
      <c r="B67" t="n">
        <v>66</v>
      </c>
    </row>
    <row r="68">
      <c r="A68" t="inlineStr">
        <is>
          <t>Jacobo González</t>
        </is>
      </c>
      <c r="B68" t="n">
        <v>67</v>
      </c>
    </row>
    <row r="69">
      <c r="A69" t="inlineStr">
        <is>
          <t>Israel Suero</t>
        </is>
      </c>
      <c r="B69" t="n">
        <v>68</v>
      </c>
    </row>
    <row r="70">
      <c r="A70" t="inlineStr">
        <is>
          <t>Jorge Pulido</t>
        </is>
      </c>
      <c r="B70" t="n">
        <v>69</v>
      </c>
    </row>
    <row r="71">
      <c r="A71" t="inlineStr">
        <is>
          <t>Isma Ruiz</t>
        </is>
      </c>
      <c r="B71" t="n">
        <v>70</v>
      </c>
    </row>
    <row r="72">
      <c r="A72" t="inlineStr">
        <is>
          <t>Iza Carcelen</t>
        </is>
      </c>
      <c r="B72" t="n">
        <v>71</v>
      </c>
    </row>
    <row r="73">
      <c r="A73" t="inlineStr">
        <is>
          <t>Ousmane Camara</t>
        </is>
      </c>
      <c r="B73" t="n">
        <v>72</v>
      </c>
    </row>
    <row r="74">
      <c r="A74" t="inlineStr">
        <is>
          <t>García Pascual</t>
        </is>
      </c>
      <c r="B74" t="n">
        <v>73</v>
      </c>
    </row>
    <row r="75">
      <c r="A75" t="inlineStr">
        <is>
          <t>Florian Miguel</t>
        </is>
      </c>
      <c r="B75" t="n">
        <v>74</v>
      </c>
    </row>
    <row r="76">
      <c r="A76" t="inlineStr">
        <is>
          <t>Ivan Chapela</t>
        </is>
      </c>
      <c r="B76" t="n">
        <v>75</v>
      </c>
    </row>
    <row r="77">
      <c r="A77" t="inlineStr">
        <is>
          <t>Dani Barcia</t>
        </is>
      </c>
      <c r="B77" t="n">
        <v>76</v>
      </c>
    </row>
    <row r="78">
      <c r="A78" t="inlineStr">
        <is>
          <t>Amir Abedzadeh</t>
        </is>
      </c>
      <c r="B78" t="n">
        <v>77</v>
      </c>
    </row>
    <row r="79">
      <c r="A79" t="inlineStr">
        <is>
          <t>Marc Doménech</t>
        </is>
      </c>
      <c r="B79" t="n">
        <v>78</v>
      </c>
    </row>
    <row r="80">
      <c r="A80" t="inlineStr">
        <is>
          <t>Carlos Hernández</t>
        </is>
      </c>
      <c r="B80" t="n">
        <v>79</v>
      </c>
    </row>
    <row r="81">
      <c r="A81" t="inlineStr">
        <is>
          <t>Ontiveros</t>
        </is>
      </c>
      <c r="B81" t="n">
        <v>80</v>
      </c>
    </row>
    <row r="82">
      <c r="A82" t="inlineStr">
        <is>
          <t>José Gragera</t>
        </is>
      </c>
      <c r="B82" t="n">
        <v>81</v>
      </c>
    </row>
    <row r="83">
      <c r="A83" t="inlineStr">
        <is>
          <t>Adrián Niño</t>
        </is>
      </c>
      <c r="B83" t="n">
        <v>82</v>
      </c>
    </row>
    <row r="84">
      <c r="A84" t="inlineStr">
        <is>
          <t>Jokin Ezkieta</t>
        </is>
      </c>
      <c r="B84" t="n">
        <v>83</v>
      </c>
    </row>
    <row r="85">
      <c r="A85" t="inlineStr">
        <is>
          <t>Alfonso Herrero</t>
        </is>
      </c>
      <c r="B85" t="n">
        <v>84</v>
      </c>
    </row>
    <row r="86">
      <c r="A86" t="inlineStr">
        <is>
          <t>Javier Castro</t>
        </is>
      </c>
      <c r="B86" t="n">
        <v>85</v>
      </c>
    </row>
    <row r="87">
      <c r="A87" t="inlineStr">
        <is>
          <t>Loureiro</t>
        </is>
      </c>
      <c r="B87" t="n">
        <v>86</v>
      </c>
    </row>
    <row r="88">
      <c r="A88" t="inlineStr">
        <is>
          <t>Juan Soriano</t>
        </is>
      </c>
      <c r="B88" t="n">
        <v>87</v>
      </c>
    </row>
    <row r="89">
      <c r="A89" t="inlineStr">
        <is>
          <t>Diego Villares</t>
        </is>
      </c>
      <c r="B89" t="n">
        <v>88</v>
      </c>
    </row>
    <row r="90">
      <c r="A90" t="inlineStr">
        <is>
          <t>Jonmi Magunagoitia</t>
        </is>
      </c>
      <c r="B90" t="n">
        <v>89</v>
      </c>
    </row>
    <row r="91">
      <c r="A91" t="inlineStr">
        <is>
          <t>Ander Cantero</t>
        </is>
      </c>
      <c r="B91" t="n">
        <v>90</v>
      </c>
    </row>
    <row r="92">
      <c r="A92" t="inlineStr">
        <is>
          <t>Aitor Córdoba</t>
        </is>
      </c>
      <c r="B92" t="n">
        <v>91</v>
      </c>
    </row>
    <row r="93">
      <c r="A93" t="inlineStr">
        <is>
          <t>Anderson Arroyo</t>
        </is>
      </c>
      <c r="B93" t="n">
        <v>92</v>
      </c>
    </row>
    <row r="94">
      <c r="A94" t="inlineStr">
        <is>
          <t>Andrés Fernández</t>
        </is>
      </c>
      <c r="B94" t="n">
        <v>93</v>
      </c>
    </row>
    <row r="95">
      <c r="A95" t="inlineStr">
        <is>
          <t>Amatucci</t>
        </is>
      </c>
      <c r="B95" t="n">
        <v>94</v>
      </c>
    </row>
    <row r="96">
      <c r="A96" t="inlineStr">
        <is>
          <t>Jon Guruzeta</t>
        </is>
      </c>
      <c r="B96" t="n">
        <v>95</v>
      </c>
    </row>
    <row r="97">
      <c r="A97" t="inlineStr">
        <is>
          <t>Sergio Molina</t>
        </is>
      </c>
      <c r="B97" t="n">
        <v>96</v>
      </c>
    </row>
    <row r="98">
      <c r="A98" t="inlineStr">
        <is>
          <t>Jorge Salinas</t>
        </is>
      </c>
      <c r="B98" t="n">
        <v>97</v>
      </c>
    </row>
    <row r="99">
      <c r="A99" t="inlineStr">
        <is>
          <t>Imanol García</t>
        </is>
      </c>
      <c r="B99" t="n">
        <v>98</v>
      </c>
    </row>
    <row r="100">
      <c r="A100" t="inlineStr">
        <is>
          <t>Jon Magunacelaya</t>
        </is>
      </c>
      <c r="B100" t="n">
        <v>99</v>
      </c>
    </row>
    <row r="101">
      <c r="A101" t="inlineStr">
        <is>
          <t>Charlie Patiño</t>
        </is>
      </c>
      <c r="B101" t="n">
        <v>100</v>
      </c>
    </row>
    <row r="102">
      <c r="A102" t="inlineStr">
        <is>
          <t>Iker Recio</t>
        </is>
      </c>
      <c r="B102" t="n">
        <v>101</v>
      </c>
    </row>
    <row r="103">
      <c r="A103" t="inlineStr">
        <is>
          <t>Gorka Gorosabel</t>
        </is>
      </c>
      <c r="B103" t="n">
        <v>102</v>
      </c>
    </row>
    <row r="104">
      <c r="A104" t="inlineStr">
        <is>
          <t>Peru Rodríguez</t>
        </is>
      </c>
      <c r="B104" t="n">
        <v>103</v>
      </c>
    </row>
    <row r="105">
      <c r="A105" t="inlineStr">
        <is>
          <t>Sergio Arribas</t>
        </is>
      </c>
      <c r="B105" t="n">
        <v>104</v>
      </c>
    </row>
    <row r="106">
      <c r="A106" t="inlineStr">
        <is>
          <t>Mateo Mejía</t>
        </is>
      </c>
      <c r="B106" t="n">
        <v>105</v>
      </c>
    </row>
    <row r="107">
      <c r="A107" t="inlineStr">
        <is>
          <t>Villahermosa</t>
        </is>
      </c>
      <c r="B107" t="n">
        <v>106</v>
      </c>
    </row>
    <row r="108">
      <c r="A108" t="inlineStr">
        <is>
          <t>Piña</t>
        </is>
      </c>
      <c r="B108" t="n">
        <v>107</v>
      </c>
    </row>
    <row r="109">
      <c r="A109" t="inlineStr">
        <is>
          <t>Jastin Garcia</t>
        </is>
      </c>
      <c r="B109" t="n">
        <v>108</v>
      </c>
    </row>
    <row r="110">
      <c r="A110" t="inlineStr">
        <is>
          <t>Marino Illescas</t>
        </is>
      </c>
      <c r="B110" t="n">
        <v>109</v>
      </c>
    </row>
    <row r="111">
      <c r="A111" t="inlineStr">
        <is>
          <t>Min-su</t>
        </is>
      </c>
      <c r="B111" t="n">
        <v>110</v>
      </c>
    </row>
    <row r="112">
      <c r="A112" t="inlineStr">
        <is>
          <t>Naim García</t>
        </is>
      </c>
      <c r="B112" t="n">
        <v>111</v>
      </c>
    </row>
    <row r="113">
      <c r="A113" t="inlineStr">
        <is>
          <t>Suso</t>
        </is>
      </c>
      <c r="B113" t="n">
        <v>112</v>
      </c>
    </row>
    <row r="114">
      <c r="A114" t="inlineStr">
        <is>
          <t>Guille Rosas</t>
        </is>
      </c>
      <c r="B114" t="n">
        <v>113</v>
      </c>
    </row>
    <row r="115">
      <c r="A115" t="inlineStr">
        <is>
          <t>Mika Mármol</t>
        </is>
      </c>
      <c r="B115" t="n">
        <v>114</v>
      </c>
    </row>
    <row r="116">
      <c r="A116" t="inlineStr">
        <is>
          <t>Carlos Marín</t>
        </is>
      </c>
      <c r="B116" t="n">
        <v>115</v>
      </c>
    </row>
    <row r="117">
      <c r="A117" t="inlineStr">
        <is>
          <t>Rubén Peña</t>
        </is>
      </c>
      <c r="B117" t="n">
        <v>116</v>
      </c>
    </row>
    <row r="118">
      <c r="A118" t="inlineStr">
        <is>
          <t>Moussa Diakité</t>
        </is>
      </c>
      <c r="B118" t="n">
        <v>117</v>
      </c>
    </row>
    <row r="119">
      <c r="A119" t="inlineStr">
        <is>
          <t>Jeremía Recoba</t>
        </is>
      </c>
      <c r="B119" t="n">
        <v>118</v>
      </c>
    </row>
    <row r="120">
      <c r="A120" t="inlineStr">
        <is>
          <t>Bojan Kovacevic</t>
        </is>
      </c>
      <c r="B120" t="n">
        <v>119</v>
      </c>
    </row>
    <row r="121">
      <c r="A121" t="inlineStr">
        <is>
          <t>Sergio Ruiz</t>
        </is>
      </c>
      <c r="B121" t="n">
        <v>120</v>
      </c>
    </row>
    <row r="122">
      <c r="A122" t="inlineStr">
        <is>
          <t>Víctor Meseguer</t>
        </is>
      </c>
      <c r="B122" t="n">
        <v>121</v>
      </c>
    </row>
    <row r="123">
      <c r="A123" t="inlineStr">
        <is>
          <t>Yeray Cabanzón</t>
        </is>
      </c>
      <c r="B123" t="n">
        <v>122</v>
      </c>
    </row>
    <row r="124">
      <c r="A124" t="inlineStr">
        <is>
          <t>Gerenabarrena</t>
        </is>
      </c>
      <c r="B124" t="n">
        <v>123</v>
      </c>
    </row>
    <row r="125">
      <c r="A125" t="inlineStr">
        <is>
          <t>Diego Sánchez</t>
        </is>
      </c>
      <c r="B125" t="n">
        <v>124</v>
      </c>
    </row>
    <row r="126">
      <c r="A126" t="inlineStr">
        <is>
          <t>Sergio Cubero</t>
        </is>
      </c>
      <c r="B126" t="n">
        <v>125</v>
      </c>
    </row>
    <row r="127">
      <c r="A127" t="inlineStr">
        <is>
          <t>Leonardo Buta</t>
        </is>
      </c>
      <c r="B127" t="n">
        <v>126</v>
      </c>
    </row>
    <row r="128">
      <c r="A128" t="inlineStr">
        <is>
          <t>Carlos Puga</t>
        </is>
      </c>
      <c r="B128" t="n">
        <v>127</v>
      </c>
    </row>
    <row r="129">
      <c r="A129" t="inlineStr">
        <is>
          <t>Marco Moreno</t>
        </is>
      </c>
      <c r="B129" t="n">
        <v>128</v>
      </c>
    </row>
    <row r="130">
      <c r="A130" t="inlineStr">
        <is>
          <t>Julio Alonso</t>
        </is>
      </c>
      <c r="B130" t="n">
        <v>129</v>
      </c>
    </row>
    <row r="131">
      <c r="A131" t="inlineStr">
        <is>
          <t>Ismael Barea</t>
        </is>
      </c>
      <c r="B131" t="n">
        <v>130</v>
      </c>
    </row>
    <row r="132">
      <c r="A132" t="inlineStr">
        <is>
          <t>Liberto</t>
        </is>
      </c>
      <c r="B132" t="n">
        <v>131</v>
      </c>
    </row>
    <row r="133">
      <c r="A133" t="inlineStr">
        <is>
          <t>Javi Villar</t>
        </is>
      </c>
      <c r="B133" t="n">
        <v>132</v>
      </c>
    </row>
    <row r="134">
      <c r="A134" t="inlineStr">
        <is>
          <t>Víctor García</t>
        </is>
      </c>
      <c r="B134" t="n">
        <v>133</v>
      </c>
    </row>
    <row r="135">
      <c r="A135" t="inlineStr">
        <is>
          <t>Víctor Aznar</t>
        </is>
      </c>
      <c r="B135" t="n">
        <v>134</v>
      </c>
    </row>
    <row r="136">
      <c r="A136" t="inlineStr">
        <is>
          <t>Diego Collado</t>
        </is>
      </c>
      <c r="B136" t="n">
        <v>135</v>
      </c>
    </row>
    <row r="137">
      <c r="A137" t="inlineStr">
        <is>
          <t>Adrián Fuentes</t>
        </is>
      </c>
      <c r="B137" t="n">
        <v>136</v>
      </c>
    </row>
    <row r="138">
      <c r="A138" t="inlineStr">
        <is>
          <t>Jesús Álvarez</t>
        </is>
      </c>
      <c r="B138" t="n">
        <v>137</v>
      </c>
    </row>
    <row r="139">
      <c r="A139" t="inlineStr">
        <is>
          <t>Rodri Suárez</t>
        </is>
      </c>
      <c r="B139" t="n">
        <v>138</v>
      </c>
    </row>
    <row r="140">
      <c r="A140" t="inlineStr">
        <is>
          <t>Àlex Corredera</t>
        </is>
      </c>
      <c r="B140" t="n">
        <v>139</v>
      </c>
    </row>
    <row r="141">
      <c r="A141" t="inlineStr">
        <is>
          <t>Diego Garcia</t>
        </is>
      </c>
      <c r="B141" t="n">
        <v>140</v>
      </c>
    </row>
    <row r="142">
      <c r="A142" t="inlineStr">
        <is>
          <t>Paulino</t>
        </is>
      </c>
      <c r="B142" t="n">
        <v>141</v>
      </c>
    </row>
    <row r="143">
      <c r="A143" t="inlineStr">
        <is>
          <t>Seydouba Cisse</t>
        </is>
      </c>
      <c r="B143" t="n">
        <v>142</v>
      </c>
    </row>
    <row r="144">
      <c r="A144" t="inlineStr">
        <is>
          <t>Jérémy Mellot</t>
        </is>
      </c>
      <c r="B144" t="n">
        <v>143</v>
      </c>
    </row>
    <row r="145">
      <c r="A145" t="inlineStr">
        <is>
          <t>Riki Rodríguez</t>
        </is>
      </c>
      <c r="B145" t="n">
        <v>144</v>
      </c>
    </row>
    <row r="146">
      <c r="A146" t="inlineStr">
        <is>
          <t>Ignacio Martín</t>
        </is>
      </c>
      <c r="B146" t="n">
        <v>145</v>
      </c>
    </row>
    <row r="147">
      <c r="A147" t="inlineStr">
        <is>
          <t>Dinko Horkas</t>
        </is>
      </c>
      <c r="B147" t="n">
        <v>146</v>
      </c>
    </row>
    <row r="148">
      <c r="A148" t="inlineStr">
        <is>
          <t>Francisco Montero</t>
        </is>
      </c>
      <c r="B148" t="n">
        <v>147</v>
      </c>
    </row>
    <row r="149">
      <c r="A149" t="inlineStr">
        <is>
          <t>Joaquín Muñoz</t>
        </is>
      </c>
      <c r="B149" t="n">
        <v>148</v>
      </c>
    </row>
    <row r="150">
      <c r="A150" t="inlineStr">
        <is>
          <t>Sergio Álvarez</t>
        </is>
      </c>
      <c r="B150" t="n">
        <v>149</v>
      </c>
    </row>
    <row r="151">
      <c r="A151" t="inlineStr">
        <is>
          <t>Iñigo Córdoba</t>
        </is>
      </c>
      <c r="B151" t="n">
        <v>150</v>
      </c>
    </row>
    <row r="152">
      <c r="A152" t="inlineStr">
        <is>
          <t>Thiago Ojeda</t>
        </is>
      </c>
      <c r="B152" t="n">
        <v>151</v>
      </c>
    </row>
    <row r="153">
      <c r="A153" t="inlineStr">
        <is>
          <t>Gonzalo Aguilar</t>
        </is>
      </c>
      <c r="B153" t="n">
        <v>152</v>
      </c>
    </row>
    <row r="154">
      <c r="A154" t="inlineStr">
        <is>
          <t>Daniel Ojeda</t>
        </is>
      </c>
      <c r="B154" t="n">
        <v>153</v>
      </c>
    </row>
    <row r="155">
      <c r="A155" t="inlineStr">
        <is>
          <t>Germán Parreño</t>
        </is>
      </c>
      <c r="B155" t="n">
        <v>154</v>
      </c>
    </row>
    <row r="156">
      <c r="A156" t="inlineStr">
        <is>
          <t>Toni Tamarit</t>
        </is>
      </c>
      <c r="B156" t="n">
        <v>155</v>
      </c>
    </row>
    <row r="157">
      <c r="A157" t="inlineStr">
        <is>
          <t>Adrián Rodríguez</t>
        </is>
      </c>
      <c r="B157" t="n">
        <v>156</v>
      </c>
    </row>
    <row r="158">
      <c r="A158" t="inlineStr">
        <is>
          <t>Ugiagbe</t>
        </is>
      </c>
      <c r="B158" t="n">
        <v>157</v>
      </c>
    </row>
    <row r="159">
      <c r="A159" t="inlineStr">
        <is>
          <t>Álex Calatrava</t>
        </is>
      </c>
      <c r="B159" t="n">
        <v>158</v>
      </c>
    </row>
    <row r="160">
      <c r="A160" t="inlineStr">
        <is>
          <t>Luismi Cruz</t>
        </is>
      </c>
      <c r="B160" t="n">
        <v>159</v>
      </c>
    </row>
    <row r="161">
      <c r="A161" t="inlineStr">
        <is>
          <t>David Mella</t>
        </is>
      </c>
      <c r="B161" t="n">
        <v>160</v>
      </c>
    </row>
    <row r="162">
      <c r="A162" t="inlineStr">
        <is>
          <t>Francho Serrano</t>
        </is>
      </c>
      <c r="B162" t="n">
        <v>161</v>
      </c>
    </row>
    <row r="163">
      <c r="A163" t="inlineStr">
        <is>
          <t>Sergi Guardiola</t>
        </is>
      </c>
      <c r="B163" t="n">
        <v>162</v>
      </c>
    </row>
    <row r="164">
      <c r="A164" t="inlineStr">
        <is>
          <t>Guti</t>
        </is>
      </c>
      <c r="B164" t="n">
        <v>163</v>
      </c>
    </row>
    <row r="165">
      <c r="A165" t="inlineStr">
        <is>
          <t>Jorge Sáenz</t>
        </is>
      </c>
      <c r="B165" t="n">
        <v>164</v>
      </c>
    </row>
    <row r="166">
      <c r="A166" t="inlineStr">
        <is>
          <t>Anuar</t>
        </is>
      </c>
      <c r="B166" t="n">
        <v>165</v>
      </c>
    </row>
    <row r="167">
      <c r="A167" t="inlineStr">
        <is>
          <t>Gaspar Campos</t>
        </is>
      </c>
      <c r="B167" t="n">
        <v>166</v>
      </c>
    </row>
    <row r="168">
      <c r="A168" t="inlineStr">
        <is>
          <t>Juan Gutiérrez</t>
        </is>
      </c>
      <c r="B168" t="n">
        <v>167</v>
      </c>
    </row>
    <row r="169">
      <c r="A169" t="inlineStr">
        <is>
          <t>Arnau Puigmal</t>
        </is>
      </c>
      <c r="B169" t="n">
        <v>168</v>
      </c>
    </row>
    <row r="170">
      <c r="A170" t="inlineStr">
        <is>
          <t>Ximo Navarro</t>
        </is>
      </c>
      <c r="B170" t="n">
        <v>169</v>
      </c>
    </row>
    <row r="171">
      <c r="A171" t="inlineStr">
        <is>
          <t>Peru Nolaskoain</t>
        </is>
      </c>
      <c r="B171" t="n">
        <v>170</v>
      </c>
    </row>
    <row r="172">
      <c r="A172" t="inlineStr">
        <is>
          <t>Izan Merino</t>
        </is>
      </c>
      <c r="B172" t="n">
        <v>171</v>
      </c>
    </row>
    <row r="173">
      <c r="A173" t="inlineStr">
        <is>
          <t>Marvel</t>
        </is>
      </c>
      <c r="B173" t="n">
        <v>172</v>
      </c>
    </row>
    <row r="174">
      <c r="A174" t="inlineStr">
        <is>
          <t>Javi Martínez</t>
        </is>
      </c>
      <c r="B174" t="n">
        <v>173</v>
      </c>
    </row>
    <row r="175">
      <c r="A175" t="inlineStr">
        <is>
          <t>Manuel Nieto</t>
        </is>
      </c>
      <c r="B175" t="n">
        <v>174</v>
      </c>
    </row>
    <row r="176">
      <c r="A176" t="inlineStr">
        <is>
          <t>Rafael Tresaco</t>
        </is>
      </c>
      <c r="B176" t="n">
        <v>175</v>
      </c>
    </row>
    <row r="177">
      <c r="A177" t="inlineStr">
        <is>
          <t>Toni Abad</t>
        </is>
      </c>
      <c r="B177" t="n">
        <v>176</v>
      </c>
    </row>
    <row r="178">
      <c r="A178" t="inlineStr">
        <is>
          <t>Marc Bombardó</t>
        </is>
      </c>
      <c r="B178" t="n">
        <v>177</v>
      </c>
    </row>
    <row r="179">
      <c r="A179" t="inlineStr">
        <is>
          <t>Tomy Carbonell</t>
        </is>
      </c>
      <c r="B179" t="n">
        <v>178</v>
      </c>
    </row>
    <row r="180">
      <c r="A180" t="inlineStr">
        <is>
          <t>Pedro López</t>
        </is>
      </c>
      <c r="B180" t="n">
        <v>179</v>
      </c>
    </row>
    <row r="181">
      <c r="A181" t="inlineStr">
        <is>
          <t>Álex Lizancos</t>
        </is>
      </c>
      <c r="B181" t="n">
        <v>180</v>
      </c>
    </row>
    <row r="182">
      <c r="A182" t="inlineStr">
        <is>
          <t>Youness Lachhab</t>
        </is>
      </c>
      <c r="B182" t="n">
        <v>181</v>
      </c>
    </row>
    <row r="183">
      <c r="A183" t="inlineStr">
        <is>
          <t>Fernando Medrano</t>
        </is>
      </c>
      <c r="B183" t="n">
        <v>182</v>
      </c>
    </row>
    <row r="184">
      <c r="A184" t="inlineStr">
        <is>
          <t>Nico Melamed</t>
        </is>
      </c>
      <c r="B184" t="n">
        <v>183</v>
      </c>
    </row>
    <row r="185">
      <c r="A185" t="inlineStr">
        <is>
          <t>Aritz Aldasoro</t>
        </is>
      </c>
      <c r="B185" t="n">
        <v>184</v>
      </c>
    </row>
    <row r="186">
      <c r="A186" t="inlineStr">
        <is>
          <t>Mario Soberón</t>
        </is>
      </c>
      <c r="B186" t="n">
        <v>185</v>
      </c>
    </row>
    <row r="187">
      <c r="A187" t="inlineStr">
        <is>
          <t>Awer Mabil</t>
        </is>
      </c>
      <c r="B187" t="n">
        <v>186</v>
      </c>
    </row>
    <row r="188">
      <c r="A188" t="inlineStr">
        <is>
          <t>Ignasi Vilarrasa</t>
        </is>
      </c>
      <c r="B188" t="n">
        <v>187</v>
      </c>
    </row>
    <row r="189">
      <c r="A189" t="inlineStr">
        <is>
          <t>Amadou Diawara</t>
        </is>
      </c>
      <c r="B189" t="n">
        <v>188</v>
      </c>
    </row>
    <row r="190">
      <c r="A190" t="inlineStr">
        <is>
          <t>Federico Bonini</t>
        </is>
      </c>
      <c r="B190" t="n">
        <v>189</v>
      </c>
    </row>
    <row r="191">
      <c r="A191" t="inlineStr">
        <is>
          <t>Diego Mariño</t>
        </is>
      </c>
      <c r="B191" t="n">
        <v>190</v>
      </c>
    </row>
    <row r="192">
      <c r="A192" t="inlineStr">
        <is>
          <t>Álex Muñoz</t>
        </is>
      </c>
      <c r="B192" t="n">
        <v>191</v>
      </c>
    </row>
    <row r="193">
      <c r="A193" t="inlineStr">
        <is>
          <t>Peio Canales</t>
        </is>
      </c>
      <c r="B193" t="n">
        <v>192</v>
      </c>
    </row>
    <row r="194">
      <c r="A194" t="inlineStr">
        <is>
          <t>Adrián Pica</t>
        </is>
      </c>
      <c r="B194" t="n">
        <v>193</v>
      </c>
    </row>
    <row r="195">
      <c r="A195" t="inlineStr">
        <is>
          <t>Marvin Park</t>
        </is>
      </c>
      <c r="B195" t="n">
        <v>194</v>
      </c>
    </row>
    <row r="196">
      <c r="A196" t="inlineStr">
        <is>
          <t>Arnau Comas</t>
        </is>
      </c>
      <c r="B196" t="n">
        <v>195</v>
      </c>
    </row>
    <row r="197">
      <c r="A197" t="inlineStr">
        <is>
          <t>Carlos Isaac</t>
        </is>
      </c>
      <c r="B197" t="n">
        <v>196</v>
      </c>
    </row>
    <row r="198">
      <c r="A198" t="inlineStr">
        <is>
          <t>Dani Gómez</t>
        </is>
      </c>
      <c r="B198" t="n">
        <v>197</v>
      </c>
    </row>
    <row r="199">
      <c r="A199" t="inlineStr">
        <is>
          <t>Franck Fomeyem</t>
        </is>
      </c>
      <c r="B199" t="n">
        <v>198</v>
      </c>
    </row>
    <row r="200">
      <c r="A200" t="inlineStr">
        <is>
          <t>Kévin Appin</t>
        </is>
      </c>
      <c r="B200" t="n">
        <v>199</v>
      </c>
    </row>
    <row r="201">
      <c r="A201" t="inlineStr">
        <is>
          <t>Thomas Carrique</t>
        </is>
      </c>
      <c r="B201" t="n">
        <v>200</v>
      </c>
    </row>
    <row r="202">
      <c r="A202" t="inlineStr">
        <is>
          <t>Juan Larios</t>
        </is>
      </c>
      <c r="B202" t="n">
        <v>201</v>
      </c>
    </row>
    <row r="203">
      <c r="A203" t="inlineStr">
        <is>
          <t>Salva Ruiz</t>
        </is>
      </c>
      <c r="B203" t="n">
        <v>202</v>
      </c>
    </row>
    <row r="204">
      <c r="A204" t="inlineStr">
        <is>
          <t>Almenara</t>
        </is>
      </c>
      <c r="B204" t="n">
        <v>203</v>
      </c>
    </row>
    <row r="205">
      <c r="A205" t="inlineStr">
        <is>
          <t>Álvaro Carrillo</t>
        </is>
      </c>
      <c r="B205" t="n">
        <v>204</v>
      </c>
    </row>
    <row r="206">
      <c r="A206" t="inlineStr">
        <is>
          <t>Edward Cedeño</t>
        </is>
      </c>
      <c r="B206" t="n">
        <v>205</v>
      </c>
    </row>
    <row r="207">
      <c r="A207" t="inlineStr">
        <is>
          <t>Álex Martín</t>
        </is>
      </c>
      <c r="B207" t="n">
        <v>206</v>
      </c>
    </row>
    <row r="208">
      <c r="A208" t="inlineStr">
        <is>
          <t>Trilli</t>
        </is>
      </c>
      <c r="B208" t="n">
        <v>207</v>
      </c>
    </row>
    <row r="209">
      <c r="A209" t="inlineStr">
        <is>
          <t>Serpeta</t>
        </is>
      </c>
      <c r="B209" t="n">
        <v>208</v>
      </c>
    </row>
    <row r="210">
      <c r="A210" t="inlineStr">
        <is>
          <t>Ekain Orobengoa</t>
        </is>
      </c>
      <c r="B210" t="n">
        <v>209</v>
      </c>
    </row>
    <row r="211">
      <c r="A211" t="inlineStr">
        <is>
          <t>Olabarrieta</t>
        </is>
      </c>
      <c r="B211" t="n">
        <v>210</v>
      </c>
    </row>
    <row r="212">
      <c r="A212" t="inlineStr">
        <is>
          <t>Unax Agote</t>
        </is>
      </c>
      <c r="B212" t="n">
        <v>211</v>
      </c>
    </row>
    <row r="213">
      <c r="A213" t="inlineStr">
        <is>
          <t>Yeremay Hernández</t>
        </is>
      </c>
      <c r="B213" t="n">
        <v>212</v>
      </c>
    </row>
    <row r="214">
      <c r="A214" t="inlineStr">
        <is>
          <t>Patrick Soko</t>
        </is>
      </c>
      <c r="B214" t="n">
        <v>213</v>
      </c>
    </row>
    <row r="215">
      <c r="A215" t="inlineStr">
        <is>
          <t>Carracedo</t>
        </is>
      </c>
      <c r="B215" t="n">
        <v>214</v>
      </c>
    </row>
    <row r="216">
      <c r="A216" t="inlineStr">
        <is>
          <t>Igor Nikic</t>
        </is>
      </c>
      <c r="B216" t="n">
        <v>215</v>
      </c>
    </row>
    <row r="217">
      <c r="A217" t="inlineStr">
        <is>
          <t>Enzo Loiodice</t>
        </is>
      </c>
      <c r="B217" t="n">
        <v>216</v>
      </c>
    </row>
    <row r="218">
      <c r="A218" t="inlineStr">
        <is>
          <t>Youssouf Diarra</t>
        </is>
      </c>
      <c r="B218" t="n">
        <v>217</v>
      </c>
    </row>
    <row r="219">
      <c r="A219" t="inlineStr">
        <is>
          <t>Mario Climent</t>
        </is>
      </c>
      <c r="B219" t="n">
        <v>218</v>
      </c>
    </row>
    <row r="220">
      <c r="A220" t="inlineStr">
        <is>
          <t>Sebas Moyano</t>
        </is>
      </c>
      <c r="B220" t="n">
        <v>219</v>
      </c>
    </row>
    <row r="221">
      <c r="A221" t="inlineStr">
        <is>
          <t>Paraschiv</t>
        </is>
      </c>
      <c r="B221" t="n">
        <v>220</v>
      </c>
    </row>
    <row r="222">
      <c r="A222" t="inlineStr">
        <is>
          <t>Sangalli</t>
        </is>
      </c>
      <c r="B222" t="n">
        <v>221</v>
      </c>
    </row>
    <row r="223">
      <c r="A223" t="inlineStr">
        <is>
          <t>Manu Trigueros</t>
        </is>
      </c>
      <c r="B223" t="n">
        <v>222</v>
      </c>
    </row>
    <row r="224">
      <c r="A224" t="inlineStr">
        <is>
          <t>Carlos Dotor</t>
        </is>
      </c>
      <c r="B224" t="n">
        <v>223</v>
      </c>
    </row>
    <row r="225">
      <c r="A225" t="inlineStr">
        <is>
          <t>Rubén González</t>
        </is>
      </c>
      <c r="B225" t="n">
        <v>224</v>
      </c>
    </row>
    <row r="226">
      <c r="A226" t="inlineStr">
        <is>
          <t>Yann Bodiger</t>
        </is>
      </c>
      <c r="B226" t="n">
        <v>225</v>
      </c>
    </row>
    <row r="227">
      <c r="A227" t="inlineStr">
        <is>
          <t>Samuel Ntamack</t>
        </is>
      </c>
      <c r="B227" t="n">
        <v>226</v>
      </c>
    </row>
    <row r="228">
      <c r="A228" t="inlineStr">
        <is>
          <t>Matos</t>
        </is>
      </c>
      <c r="B228" t="n">
        <v>227</v>
      </c>
    </row>
    <row r="229">
      <c r="A229" t="inlineStr">
        <is>
          <t>Iván Calero</t>
        </is>
      </c>
      <c r="B229" t="n">
        <v>228</v>
      </c>
    </row>
    <row r="230">
      <c r="A230" t="inlineStr">
        <is>
          <t>Aritz Arambarri</t>
        </is>
      </c>
      <c r="B230" t="n">
        <v>229</v>
      </c>
    </row>
    <row r="231">
      <c r="A231" t="inlineStr">
        <is>
          <t>Cristian Rodríguez</t>
        </is>
      </c>
      <c r="B231" t="n">
        <v>230</v>
      </c>
    </row>
    <row r="232">
      <c r="A232" t="inlineStr">
        <is>
          <t>Alex Lebarbier</t>
        </is>
      </c>
      <c r="B232" t="n">
        <v>231</v>
      </c>
    </row>
    <row r="233">
      <c r="A233" t="inlineStr">
        <is>
          <t>Diego Barri</t>
        </is>
      </c>
      <c r="B233" t="n">
        <v>232</v>
      </c>
    </row>
    <row r="234">
      <c r="A234" t="inlineStr">
        <is>
          <t>Eric Curbelo</t>
        </is>
      </c>
      <c r="B234" t="n">
        <v>233</v>
      </c>
    </row>
    <row r="235">
      <c r="A235" t="inlineStr">
        <is>
          <t>Manu Justo</t>
        </is>
      </c>
      <c r="B235" t="n">
        <v>234</v>
      </c>
    </row>
    <row r="236">
      <c r="A236" t="inlineStr">
        <is>
          <t>Brian Cipenga</t>
        </is>
      </c>
      <c r="B236" t="n">
        <v>235</v>
      </c>
    </row>
    <row r="237">
      <c r="A237" t="inlineStr">
        <is>
          <t>Bicho</t>
        </is>
      </c>
      <c r="B237" t="n">
        <v>236</v>
      </c>
    </row>
    <row r="238">
      <c r="A238" t="inlineStr">
        <is>
          <t>Victor Valverde</t>
        </is>
      </c>
      <c r="B238" t="n">
        <v>237</v>
      </c>
    </row>
    <row r="239">
      <c r="A239" t="inlineStr">
        <is>
          <t>Mikel Rodriguez</t>
        </is>
      </c>
      <c r="B239" t="n">
        <v>238</v>
      </c>
    </row>
    <row r="240">
      <c r="A240" t="inlineStr">
        <is>
          <t>Marc Cardona</t>
        </is>
      </c>
      <c r="B240" t="n">
        <v>239</v>
      </c>
    </row>
    <row r="241">
      <c r="A241" t="inlineStr">
        <is>
          <t>Kuki Zalazar</t>
        </is>
      </c>
      <c r="B241" t="n">
        <v>240</v>
      </c>
    </row>
    <row r="242">
      <c r="A242" t="inlineStr">
        <is>
          <t>Dani Lorenzo</t>
        </is>
      </c>
      <c r="B242" t="n">
        <v>241</v>
      </c>
    </row>
    <row r="243">
      <c r="A243" t="inlineStr">
        <is>
          <t>Víctor García</t>
        </is>
      </c>
      <c r="B243" t="n">
        <v>242</v>
      </c>
    </row>
    <row r="244">
      <c r="A244" t="inlineStr">
        <is>
          <t>Mohamed Bouldini</t>
        </is>
      </c>
      <c r="B244" t="n">
        <v>243</v>
      </c>
    </row>
    <row r="245">
      <c r="A245" t="inlineStr">
        <is>
          <t>Matia Barzic</t>
        </is>
      </c>
      <c r="B245" t="n">
        <v>244</v>
      </c>
    </row>
    <row r="246">
      <c r="A246" t="inlineStr">
        <is>
          <t>Selvi Clua</t>
        </is>
      </c>
      <c r="B246" t="n">
        <v>245</v>
      </c>
    </row>
    <row r="247">
      <c r="A247" t="inlineStr">
        <is>
          <t>José Lazo</t>
        </is>
      </c>
      <c r="B247" t="n">
        <v>246</v>
      </c>
    </row>
    <row r="248">
      <c r="A248" t="inlineStr">
        <is>
          <t>Pastoriza</t>
        </is>
      </c>
      <c r="B248" t="n">
        <v>247</v>
      </c>
    </row>
    <row r="249">
      <c r="A249" t="inlineStr">
        <is>
          <t>Bassinga</t>
        </is>
      </c>
      <c r="B249" t="n">
        <v>248</v>
      </c>
    </row>
    <row r="250">
      <c r="A250" t="inlineStr">
        <is>
          <t>Xavi Moreno</t>
        </is>
      </c>
      <c r="B250" t="n">
        <v>249</v>
      </c>
    </row>
    <row r="251">
      <c r="A251" t="inlineStr">
        <is>
          <t>Aitor Uzkudun</t>
        </is>
      </c>
      <c r="B251" t="n">
        <v>250</v>
      </c>
    </row>
    <row r="252">
      <c r="A252" t="inlineStr">
        <is>
          <t>Jeremy Arévalo</t>
        </is>
      </c>
      <c r="B252" t="n">
        <v>251</v>
      </c>
    </row>
    <row r="253">
      <c r="A253" t="inlineStr">
        <is>
          <t>Alfred Caicedo</t>
        </is>
      </c>
      <c r="B253" t="n">
        <v>252</v>
      </c>
    </row>
    <row r="254">
      <c r="A254" t="inlineStr">
        <is>
          <t>Melero</t>
        </is>
      </c>
      <c r="B254" t="n">
        <v>253</v>
      </c>
    </row>
    <row r="255">
      <c r="A255" t="inlineStr">
        <is>
          <t>Édgar Badía</t>
        </is>
      </c>
      <c r="B255" t="n">
        <v>254</v>
      </c>
    </row>
    <row r="256">
      <c r="A256" t="inlineStr">
        <is>
          <t>Aketxe</t>
        </is>
      </c>
      <c r="B256" t="n">
        <v>255</v>
      </c>
    </row>
    <row r="257">
      <c r="A257" t="inlineStr">
        <is>
          <t>Chupete</t>
        </is>
      </c>
      <c r="B257" t="n">
        <v>256</v>
      </c>
    </row>
    <row r="258">
      <c r="A258" t="inlineStr">
        <is>
          <t>Sergio Barcia</t>
        </is>
      </c>
      <c r="B258" t="n">
        <v>257</v>
      </c>
    </row>
    <row r="259">
      <c r="A259" t="inlineStr">
        <is>
          <t>Cristian Gutiérrez</t>
        </is>
      </c>
      <c r="B259" t="n">
        <v>258</v>
      </c>
    </row>
    <row r="260">
      <c r="A260" t="inlineStr">
        <is>
          <t>Kevin Villodres</t>
        </is>
      </c>
      <c r="B260" t="n">
        <v>259</v>
      </c>
    </row>
    <row r="261">
      <c r="A261" t="inlineStr">
        <is>
          <t>Juanto Ortuño</t>
        </is>
      </c>
      <c r="B261" t="n">
        <v>260</v>
      </c>
    </row>
    <row r="262">
      <c r="A262" t="inlineStr">
        <is>
          <t>Pau Sans</t>
        </is>
      </c>
      <c r="B262" t="n">
        <v>261</v>
      </c>
    </row>
    <row r="263">
      <c r="A263" t="inlineStr">
        <is>
          <t>Luis Chacón</t>
        </is>
      </c>
      <c r="B263" t="n">
        <v>262</v>
      </c>
    </row>
    <row r="264">
      <c r="A264" t="inlineStr">
        <is>
          <t>Dani Sánchez</t>
        </is>
      </c>
      <c r="B264" t="n">
        <v>263</v>
      </c>
    </row>
    <row r="265">
      <c r="A265" t="inlineStr">
        <is>
          <t>Carlos Fernández</t>
        </is>
      </c>
      <c r="B265" t="n">
        <v>264</v>
      </c>
    </row>
    <row r="266">
      <c r="A266" t="inlineStr">
        <is>
          <t>Jefté Betancor</t>
        </is>
      </c>
      <c r="B266" t="n">
        <v>265</v>
      </c>
    </row>
    <row r="267">
      <c r="A267" t="inlineStr">
        <is>
          <t>Iván Gil</t>
        </is>
      </c>
      <c r="B267" t="n">
        <v>266</v>
      </c>
    </row>
    <row r="268">
      <c r="A268" t="inlineStr">
        <is>
          <t>Adu Ares</t>
        </is>
      </c>
      <c r="B268" t="n">
        <v>267</v>
      </c>
    </row>
    <row r="269">
      <c r="A269" t="inlineStr">
        <is>
          <t>Marcos Luna</t>
        </is>
      </c>
      <c r="B269" t="n">
        <v>268</v>
      </c>
    </row>
    <row r="270">
      <c r="A270" t="inlineStr">
        <is>
          <t>Íñigo Sainz-Maza</t>
        </is>
      </c>
      <c r="B270" t="n">
        <v>269</v>
      </c>
    </row>
    <row r="271">
      <c r="A271" t="inlineStr">
        <is>
          <t>Juan Sebastián</t>
        </is>
      </c>
      <c r="B271" t="n">
        <v>270</v>
      </c>
    </row>
    <row r="272">
      <c r="A272" t="inlineStr">
        <is>
          <t>Guillermo Vallejo</t>
        </is>
      </c>
      <c r="B272" t="n">
        <v>271</v>
      </c>
    </row>
    <row r="273">
      <c r="A273" t="inlineStr">
        <is>
          <t>Théo Le Normand</t>
        </is>
      </c>
      <c r="B273" t="n">
        <v>272</v>
      </c>
    </row>
    <row r="274">
      <c r="A274" t="inlineStr">
        <is>
          <t>Alejandro Meléndez</t>
        </is>
      </c>
      <c r="B274" t="n">
        <v>273</v>
      </c>
    </row>
    <row r="275">
      <c r="A275" t="inlineStr">
        <is>
          <t>De la Rosa</t>
        </is>
      </c>
      <c r="B275" t="n">
        <v>274</v>
      </c>
    </row>
    <row r="276">
      <c r="A276" t="inlineStr">
        <is>
          <t>Nick Markanich</t>
        </is>
      </c>
      <c r="B276" t="n">
        <v>275</v>
      </c>
    </row>
    <row r="277">
      <c r="A277" t="inlineStr">
        <is>
          <t>Astiazaran</t>
        </is>
      </c>
      <c r="B277" t="n">
        <v>276</v>
      </c>
    </row>
    <row r="278">
      <c r="A278" t="inlineStr">
        <is>
          <t>Souleymane Faye</t>
        </is>
      </c>
      <c r="B278" t="n">
        <v>277</v>
      </c>
    </row>
    <row r="279">
      <c r="A279" t="inlineStr">
        <is>
          <t>Gui Guedes</t>
        </is>
      </c>
      <c r="B279" t="n">
        <v>278</v>
      </c>
    </row>
    <row r="280">
      <c r="A280" t="inlineStr">
        <is>
          <t>Lorenzo Aguado</t>
        </is>
      </c>
      <c r="B280" t="n">
        <v>279</v>
      </c>
    </row>
    <row r="281">
      <c r="A281" t="inlineStr">
        <is>
          <t>Jonathan Viera</t>
        </is>
      </c>
      <c r="B281" t="n">
        <v>280</v>
      </c>
    </row>
    <row r="282">
      <c r="A282" t="inlineStr">
        <is>
          <t>Stoichkov</t>
        </is>
      </c>
      <c r="B282" t="n">
        <v>281</v>
      </c>
    </row>
    <row r="283">
      <c r="A283" t="inlineStr">
        <is>
          <t>André Horta</t>
        </is>
      </c>
      <c r="B283" t="n">
        <v>282</v>
      </c>
    </row>
    <row r="284">
      <c r="A284" t="inlineStr">
        <is>
          <t>Álex Suárez</t>
        </is>
      </c>
      <c r="B284" t="n">
        <v>283</v>
      </c>
    </row>
    <row r="285">
      <c r="A285" t="inlineStr">
        <is>
          <t>Roberto López</t>
        </is>
      </c>
      <c r="B285" t="n">
        <v>284</v>
      </c>
    </row>
    <row r="286">
      <c r="A286" t="inlineStr">
        <is>
          <t>Óscar Plano</t>
        </is>
      </c>
      <c r="B286" t="n">
        <v>285</v>
      </c>
    </row>
    <row r="287">
      <c r="A287" t="inlineStr">
        <is>
          <t>Dani Tasende</t>
        </is>
      </c>
      <c r="B287" t="n">
        <v>286</v>
      </c>
    </row>
    <row r="288">
      <c r="A288" t="inlineStr">
        <is>
          <t>Luca Zidane</t>
        </is>
      </c>
      <c r="B288" t="n">
        <v>287</v>
      </c>
    </row>
    <row r="289">
      <c r="A289" t="inlineStr">
        <is>
          <t>Michelin</t>
        </is>
      </c>
      <c r="B289" t="n">
        <v>288</v>
      </c>
    </row>
    <row r="290">
      <c r="A290" t="inlineStr">
        <is>
          <t>Chumi</t>
        </is>
      </c>
      <c r="B290" t="n">
        <v>289</v>
      </c>
    </row>
    <row r="291">
      <c r="A291" t="inlineStr">
        <is>
          <t>Pablo Sáenz</t>
        </is>
      </c>
      <c r="B291" t="n">
        <v>290</v>
      </c>
    </row>
    <row r="292">
      <c r="A292" t="inlineStr">
        <is>
          <t>Luismi</t>
        </is>
      </c>
      <c r="B292" t="n">
        <v>291</v>
      </c>
    </row>
    <row r="293">
      <c r="A293" t="inlineStr">
        <is>
          <t>Roger</t>
        </is>
      </c>
      <c r="B293" t="n">
        <v>292</v>
      </c>
    </row>
    <row r="294">
      <c r="A294" t="inlineStr">
        <is>
          <t>Thiago Helguera</t>
        </is>
      </c>
      <c r="B294" t="n">
        <v>293</v>
      </c>
    </row>
    <row r="295">
      <c r="A295" t="inlineStr">
        <is>
          <t>Jorge Pascual</t>
        </is>
      </c>
      <c r="B295" t="n">
        <v>294</v>
      </c>
    </row>
    <row r="296">
      <c r="A296" t="inlineStr">
        <is>
          <t>Jonathan Gómez</t>
        </is>
      </c>
      <c r="B296" t="n">
        <v>295</v>
      </c>
    </row>
    <row r="297">
      <c r="A297" t="inlineStr">
        <is>
          <t>Julen Lobete</t>
        </is>
      </c>
      <c r="B297" t="n">
        <v>296</v>
      </c>
    </row>
    <row r="298">
      <c r="A298" t="inlineStr">
        <is>
          <t>Pauwels</t>
        </is>
      </c>
      <c r="B298" t="n">
        <v>297</v>
      </c>
    </row>
    <row r="299">
      <c r="A299" t="inlineStr">
        <is>
          <t>Baïla Diallo</t>
        </is>
      </c>
      <c r="B299" t="n">
        <v>298</v>
      </c>
    </row>
    <row r="300">
      <c r="A300" t="inlineStr">
        <is>
          <t>Nikitscher</t>
        </is>
      </c>
      <c r="B300" t="n">
        <v>299</v>
      </c>
    </row>
    <row r="301">
      <c r="A301" t="inlineStr">
        <is>
          <t>Justin Smith</t>
        </is>
      </c>
      <c r="B301" t="n">
        <v>300</v>
      </c>
    </row>
    <row r="302">
      <c r="A302" t="inlineStr">
        <is>
          <t>Marc-Olivier Doué</t>
        </is>
      </c>
      <c r="B302" t="n">
        <v>301</v>
      </c>
    </row>
    <row r="303">
      <c r="A303" t="inlineStr">
        <is>
          <t>Andy Escudero</t>
        </is>
      </c>
      <c r="B303" t="n">
        <v>302</v>
      </c>
    </row>
    <row r="304">
      <c r="A304" t="inlineStr">
        <is>
          <t>Obolskiy</t>
        </is>
      </c>
      <c r="B304" t="n">
        <v>303</v>
      </c>
    </row>
    <row r="305">
      <c r="A305" t="inlineStr">
        <is>
          <t>Pablo Santiago</t>
        </is>
      </c>
      <c r="B305" t="n">
        <v>304</v>
      </c>
    </row>
    <row r="306">
      <c r="A306" t="inlineStr">
        <is>
          <t>Martín Pascual</t>
        </is>
      </c>
      <c r="B306" t="n">
        <v>305</v>
      </c>
    </row>
    <row r="307">
      <c r="A307" t="inlineStr">
        <is>
          <t>Hodei Arrillaga</t>
        </is>
      </c>
      <c r="B307" t="n">
        <v>306</v>
      </c>
    </row>
    <row r="308">
      <c r="A308" t="inlineStr">
        <is>
          <t>Xeber Alkain</t>
        </is>
      </c>
      <c r="B308" t="n">
        <v>307</v>
      </c>
    </row>
    <row r="309">
      <c r="A309" t="inlineStr">
        <is>
          <t>Aarón Ochoa</t>
        </is>
      </c>
      <c r="B309" t="n">
        <v>308</v>
      </c>
    </row>
    <row r="310">
      <c r="A310" t="inlineStr">
        <is>
          <t>Amadou Coundoul</t>
        </is>
      </c>
      <c r="B310" t="n">
        <v>309</v>
      </c>
    </row>
    <row r="311">
      <c r="A311" t="inlineStr">
        <is>
          <t>Enol Rodríguez</t>
        </is>
      </c>
      <c r="B311" t="n">
        <v>310</v>
      </c>
    </row>
    <row r="312">
      <c r="A312" t="inlineStr">
        <is>
          <t>Eceizabarrena</t>
        </is>
      </c>
      <c r="B312" t="n">
        <v>311</v>
      </c>
    </row>
    <row r="313">
      <c r="A313" t="inlineStr">
        <is>
          <t>Juan Pedro</t>
        </is>
      </c>
      <c r="B313" t="n">
        <v>312</v>
      </c>
    </row>
    <row r="314">
      <c r="A314" t="inlineStr">
        <is>
          <t>Dani Díaz</t>
        </is>
      </c>
      <c r="B314" t="n">
        <v>313</v>
      </c>
    </row>
    <row r="315">
      <c r="A315" t="inlineStr">
        <is>
          <t>Javi Moreno</t>
        </is>
      </c>
      <c r="B315" t="n">
        <v>314</v>
      </c>
    </row>
    <row r="316">
      <c r="A316" t="inlineStr">
        <is>
          <t>Gorka Carrera</t>
        </is>
      </c>
      <c r="B316" t="n">
        <v>315</v>
      </c>
    </row>
    <row r="317">
      <c r="A317" t="inlineStr">
        <is>
          <t>Diego Aznar</t>
        </is>
      </c>
      <c r="B317" t="n">
        <v>316</v>
      </c>
    </row>
    <row r="318">
      <c r="A318" t="inlineStr">
        <is>
          <t>Ibrahim Alani</t>
        </is>
      </c>
      <c r="B318" t="n">
        <v>317</v>
      </c>
    </row>
    <row r="319">
      <c r="A319" t="inlineStr">
        <is>
          <t>Kazunari Kita</t>
        </is>
      </c>
      <c r="B319" t="n">
        <v>318</v>
      </c>
    </row>
    <row r="320">
      <c r="A320" t="inlineStr">
        <is>
          <t>Jesús Vallejo</t>
        </is>
      </c>
      <c r="B320" t="n">
        <v>319</v>
      </c>
    </row>
    <row r="321">
      <c r="A321" t="inlineStr">
        <is>
          <t>Álex Fernández</t>
        </is>
      </c>
      <c r="B321" t="n">
        <v>320</v>
      </c>
    </row>
    <row r="322">
      <c r="A322" t="inlineStr">
        <is>
          <t>Alex Suárez</t>
        </is>
      </c>
      <c r="B322" t="n">
        <v>321</v>
      </c>
    </row>
    <row r="323">
      <c r="A323" t="inlineStr">
        <is>
          <t>Quagliata</t>
        </is>
      </c>
      <c r="B323" t="n">
        <v>322</v>
      </c>
    </row>
    <row r="324">
      <c r="A324" t="inlineStr">
        <is>
          <t>Mario García</t>
        </is>
      </c>
      <c r="B324" t="n">
        <v>323</v>
      </c>
    </row>
    <row r="325">
      <c r="A325" t="inlineStr">
        <is>
          <t>Marcos de Sousa</t>
        </is>
      </c>
      <c r="B325" t="n">
        <v>324</v>
      </c>
    </row>
    <row r="326">
      <c r="A326" t="inlineStr">
        <is>
          <t>Brignani</t>
        </is>
      </c>
      <c r="B326" t="n">
        <v>325</v>
      </c>
    </row>
    <row r="327">
      <c r="A327" t="inlineStr">
        <is>
          <t>Álex Millán</t>
        </is>
      </c>
      <c r="B327" t="n">
        <v>326</v>
      </c>
    </row>
    <row r="328">
      <c r="A328" t="inlineStr">
        <is>
          <t>Ignasi Miquel</t>
        </is>
      </c>
      <c r="B328" t="n">
        <v>327</v>
      </c>
    </row>
    <row r="329">
      <c r="A329" t="inlineStr">
        <is>
          <t>Pablo García</t>
        </is>
      </c>
      <c r="B329" t="n">
        <v>328</v>
      </c>
    </row>
    <row r="330">
      <c r="A330" t="inlineStr">
        <is>
          <t>Mariezkurrena</t>
        </is>
      </c>
      <c r="B330" t="n">
        <v>329</v>
      </c>
    </row>
    <row r="331">
      <c r="A331" t="inlineStr">
        <is>
          <t>Alberto del Moral</t>
        </is>
      </c>
      <c r="B331" t="n">
        <v>330</v>
      </c>
    </row>
    <row r="332">
      <c r="A332" t="inlineStr">
        <is>
          <t>Toni Moya</t>
        </is>
      </c>
      <c r="B332" t="n">
        <v>331</v>
      </c>
    </row>
    <row r="333">
      <c r="A333" t="inlineStr">
        <is>
          <t>Antonio Pacheco</t>
        </is>
      </c>
      <c r="B333" t="n">
        <v>332</v>
      </c>
    </row>
    <row r="334">
      <c r="A334" t="inlineStr">
        <is>
          <t>Aarón Martin</t>
        </is>
      </c>
      <c r="B334" t="n">
        <v>333</v>
      </c>
    </row>
    <row r="335">
      <c r="A335" t="inlineStr">
        <is>
          <t>Lázaro</t>
        </is>
      </c>
      <c r="B335" t="n">
        <v>334</v>
      </c>
    </row>
    <row r="336">
      <c r="A336" t="inlineStr">
        <is>
          <t>Kenneth Mamah</t>
        </is>
      </c>
      <c r="B336" t="n">
        <v>335</v>
      </c>
    </row>
    <row r="337">
      <c r="A337" t="inlineStr">
        <is>
          <t>Agustín Sienra</t>
        </is>
      </c>
      <c r="B337" t="n">
        <v>336</v>
      </c>
    </row>
    <row r="338">
      <c r="A338" t="inlineStr">
        <is>
          <t>Juan María Alcedo</t>
        </is>
      </c>
      <c r="B338" t="n">
        <v>337</v>
      </c>
    </row>
    <row r="339">
      <c r="A339" t="inlineStr">
        <is>
          <t>Pejiño</t>
        </is>
      </c>
      <c r="B339" t="n">
        <v>338</v>
      </c>
    </row>
    <row r="340">
      <c r="A340" t="inlineStr">
        <is>
          <t>Weissman</t>
        </is>
      </c>
      <c r="B340" t="n">
        <v>339</v>
      </c>
    </row>
    <row r="341">
      <c r="A341" t="inlineStr">
        <is>
          <t>Álex Petxa</t>
        </is>
      </c>
      <c r="B341" t="n">
        <v>340</v>
      </c>
    </row>
    <row r="342">
      <c r="A342" t="inlineStr">
        <is>
          <t>Iker Varela</t>
        </is>
      </c>
      <c r="B342" t="n">
        <v>341</v>
      </c>
    </row>
    <row r="343">
      <c r="A343" t="inlineStr">
        <is>
          <t>Manu Vallejo</t>
        </is>
      </c>
      <c r="B343" t="n">
        <v>342</v>
      </c>
    </row>
    <row r="344">
      <c r="A344" t="inlineStr">
        <is>
          <t>Tincho Conde</t>
        </is>
      </c>
      <c r="B344" t="n">
        <v>343</v>
      </c>
    </row>
    <row r="345">
      <c r="A345" t="inlineStr">
        <is>
          <t>Sergio Rodelas</t>
        </is>
      </c>
      <c r="B345" t="n">
        <v>344</v>
      </c>
    </row>
    <row r="346">
      <c r="A346" t="inlineStr">
        <is>
          <t>Carlos Guirao</t>
        </is>
      </c>
      <c r="B346" t="n">
        <v>345</v>
      </c>
    </row>
    <row r="347">
      <c r="A347" t="inlineStr">
        <is>
          <t>Kevin Vázquez</t>
        </is>
      </c>
      <c r="B347" t="n">
        <v>346</v>
      </c>
    </row>
    <row r="348">
      <c r="A348" t="inlineStr">
        <is>
          <t>Diego Murillo</t>
        </is>
      </c>
      <c r="B348" t="n">
        <v>347</v>
      </c>
    </row>
    <row r="349">
      <c r="A349" t="inlineStr">
        <is>
          <t>Cristian Herrera</t>
        </is>
      </c>
      <c r="B349" t="n">
        <v>348</v>
      </c>
    </row>
    <row r="350">
      <c r="A350" t="inlineStr">
        <is>
          <t>Diego González</t>
        </is>
      </c>
      <c r="B350" t="n">
        <v>349</v>
      </c>
    </row>
    <row r="351">
      <c r="A351" t="inlineStr">
        <is>
          <t>Aisar Ahmed</t>
        </is>
      </c>
      <c r="B351" t="n">
        <v>350</v>
      </c>
    </row>
    <row r="352">
      <c r="A352" t="inlineStr">
        <is>
          <t>Guzmán Ortega</t>
        </is>
      </c>
      <c r="B352" t="n">
        <v>351</v>
      </c>
    </row>
    <row r="353">
      <c r="A353" t="inlineStr">
        <is>
          <t>Nico Toca</t>
        </is>
      </c>
      <c r="B353" t="n">
        <v>352</v>
      </c>
    </row>
    <row r="354">
      <c r="A354" t="inlineStr">
        <is>
          <t>Iván Garriel</t>
        </is>
      </c>
      <c r="B354" t="n">
        <v>353</v>
      </c>
    </row>
    <row r="355">
      <c r="A355" t="inlineStr">
        <is>
          <t>Pierre Mbemba</t>
        </is>
      </c>
      <c r="B355" t="n">
        <v>354</v>
      </c>
    </row>
    <row r="356">
      <c r="A356" t="inlineStr">
        <is>
          <t>Daijiro Chirino</t>
        </is>
      </c>
      <c r="B356" t="n">
        <v>355</v>
      </c>
    </row>
    <row r="357">
      <c r="A357" t="inlineStr">
        <is>
          <t>Sergio Ortuño</t>
        </is>
      </c>
      <c r="B357" t="n">
        <v>356</v>
      </c>
    </row>
    <row r="358">
      <c r="A358" t="inlineStr">
        <is>
          <t>José Arnaiz</t>
        </is>
      </c>
      <c r="B358" t="n">
        <v>357</v>
      </c>
    </row>
    <row r="359">
      <c r="A359" t="inlineStr">
        <is>
          <t>Gonzalo Petit</t>
        </is>
      </c>
      <c r="B359" t="n">
        <v>358</v>
      </c>
    </row>
    <row r="360">
      <c r="A360" t="inlineStr">
        <is>
          <t>Álex Centelles</t>
        </is>
      </c>
      <c r="B360" t="n">
        <v>359</v>
      </c>
    </row>
    <row r="361">
      <c r="A361" t="inlineStr">
        <is>
          <t>Valery Fernández</t>
        </is>
      </c>
      <c r="B361" t="n">
        <v>360</v>
      </c>
    </row>
    <row r="362">
      <c r="A362" t="inlineStr">
        <is>
          <t>Pedro Ortiz</t>
        </is>
      </c>
      <c r="B362" t="n">
        <v>361</v>
      </c>
    </row>
    <row r="363">
      <c r="A363" t="inlineStr">
        <is>
          <t>Théo Zidane</t>
        </is>
      </c>
      <c r="B363" t="n">
        <v>362</v>
      </c>
    </row>
    <row r="364">
      <c r="A364" t="inlineStr">
        <is>
          <t>Albarrán</t>
        </is>
      </c>
      <c r="B364" t="n">
        <v>363</v>
      </c>
    </row>
    <row r="365">
      <c r="A365" t="inlineStr">
        <is>
          <t>Álvaro Mantilla</t>
        </is>
      </c>
      <c r="B365" t="n">
        <v>364</v>
      </c>
    </row>
    <row r="366">
      <c r="A366" t="inlineStr">
        <is>
          <t>Dani Requena</t>
        </is>
      </c>
      <c r="B366" t="n">
        <v>365</v>
      </c>
    </row>
    <row r="367">
      <c r="A367" t="inlineStr">
        <is>
          <t>Palomares</t>
        </is>
      </c>
      <c r="B367" t="n">
        <v>366</v>
      </c>
    </row>
    <row r="368">
      <c r="A368" t="inlineStr">
        <is>
          <t>Jon García</t>
        </is>
      </c>
      <c r="B368" t="n">
        <v>367</v>
      </c>
    </row>
    <row r="369">
      <c r="A369" t="inlineStr">
        <is>
          <t>Jordy Caicedo</t>
        </is>
      </c>
      <c r="B369" t="n">
        <v>368</v>
      </c>
    </row>
    <row r="370">
      <c r="A370" t="inlineStr">
        <is>
          <t>Quique Fornos</t>
        </is>
      </c>
      <c r="B370" t="n">
        <v>369</v>
      </c>
    </row>
    <row r="371">
      <c r="A371" t="inlineStr">
        <is>
          <t>Dani Queipo</t>
        </is>
      </c>
      <c r="B371" t="n">
        <v>370</v>
      </c>
    </row>
    <row r="372">
      <c r="A372" t="inlineStr">
        <is>
          <t>Kialy Kone</t>
        </is>
      </c>
      <c r="B372" t="n">
        <v>371</v>
      </c>
    </row>
    <row r="373">
      <c r="A373" t="inlineStr">
        <is>
          <t>Pedro Alemañ</t>
        </is>
      </c>
      <c r="B373" t="n">
        <v>372</v>
      </c>
    </row>
    <row r="374">
      <c r="A374" t="inlineStr">
        <is>
          <t>Óscar Gil</t>
        </is>
      </c>
      <c r="B374" t="n">
        <v>373</v>
      </c>
    </row>
    <row r="375">
      <c r="A375" t="inlineStr">
        <is>
          <t>Pau Casadesús</t>
        </is>
      </c>
      <c r="B375" t="n">
        <v>374</v>
      </c>
    </row>
    <row r="376">
      <c r="A376" t="inlineStr">
        <is>
          <t>Mario Maroto</t>
        </is>
      </c>
      <c r="B376" t="n">
        <v>375</v>
      </c>
    </row>
    <row r="377">
      <c r="A377" t="inlineStr">
        <is>
          <t>Sandro Ramírez</t>
        </is>
      </c>
      <c r="B377" t="n">
        <v>376</v>
      </c>
    </row>
    <row r="378">
      <c r="A378" t="inlineStr">
        <is>
          <t>Daniel Bachmann</t>
        </is>
      </c>
      <c r="B378" t="n">
        <v>377</v>
      </c>
    </row>
    <row r="379">
      <c r="A379" t="inlineStr">
        <is>
          <t>Jon Bautista</t>
        </is>
      </c>
      <c r="B379" t="n">
        <v>378</v>
      </c>
    </row>
    <row r="380">
      <c r="A380" t="inlineStr">
        <is>
          <t>Kirian Rodríguez</t>
        </is>
      </c>
      <c r="B380" t="n">
        <v>379</v>
      </c>
    </row>
    <row r="381">
      <c r="A381" t="inlineStr">
        <is>
          <t>Juan Cruz</t>
        </is>
      </c>
      <c r="B381" t="n">
        <v>380</v>
      </c>
    </row>
    <row r="382">
      <c r="A382" t="inlineStr">
        <is>
          <t>Julien Ponceau</t>
        </is>
      </c>
      <c r="B382" t="n">
        <v>381</v>
      </c>
    </row>
    <row r="383">
      <c r="A383" t="inlineStr">
        <is>
          <t>Plamen Andreev</t>
        </is>
      </c>
      <c r="B383" t="n">
        <v>382</v>
      </c>
    </row>
    <row r="384">
      <c r="A384" t="inlineStr">
        <is>
          <t>Arana</t>
        </is>
      </c>
      <c r="B384" t="n">
        <v>383</v>
      </c>
    </row>
    <row r="385">
      <c r="A385" t="inlineStr">
        <is>
          <t>Viti</t>
        </is>
      </c>
      <c r="B385" t="n">
        <v>384</v>
      </c>
    </row>
    <row r="386">
      <c r="A386" t="inlineStr">
        <is>
          <t>Lander Olaetxea</t>
        </is>
      </c>
      <c r="B386" t="n">
        <v>385</v>
      </c>
    </row>
    <row r="387">
      <c r="A387" t="inlineStr">
        <is>
          <t>Jesé</t>
        </is>
      </c>
      <c r="B387" t="n">
        <v>386</v>
      </c>
    </row>
    <row r="388">
      <c r="A388" t="inlineStr">
        <is>
          <t>Enric Franquesa</t>
        </is>
      </c>
      <c r="B388" t="n">
        <v>387</v>
      </c>
    </row>
    <row r="389">
      <c r="A389" t="inlineStr">
        <is>
          <t>Edgar González</t>
        </is>
      </c>
      <c r="B389" t="n">
        <v>388</v>
      </c>
    </row>
    <row r="390">
      <c r="A390" t="inlineStr">
        <is>
          <t>Mamadou Loum</t>
        </is>
      </c>
      <c r="B390" t="n">
        <v>389</v>
      </c>
    </row>
    <row r="391">
      <c r="A391" t="inlineStr">
        <is>
          <t>Lucas Noubi</t>
        </is>
      </c>
      <c r="B391" t="n">
        <v>390</v>
      </c>
    </row>
    <row r="392">
      <c r="A392" t="inlineStr">
        <is>
          <t>Lucas Robertone</t>
        </is>
      </c>
      <c r="B392" t="n">
        <v>391</v>
      </c>
    </row>
    <row r="393">
      <c r="A393" t="inlineStr">
        <is>
          <t>Selim Amallah</t>
        </is>
      </c>
      <c r="B393" t="n">
        <v>392</v>
      </c>
    </row>
    <row r="394">
      <c r="A394" t="inlineStr">
        <is>
          <t>Juanma Herzog</t>
        </is>
      </c>
      <c r="B394" t="n">
        <v>393</v>
      </c>
    </row>
    <row r="395">
      <c r="A395" t="inlineStr">
        <is>
          <t>Víctor Mollejo</t>
        </is>
      </c>
      <c r="B395" t="n">
        <v>394</v>
      </c>
    </row>
    <row r="396">
      <c r="A396" t="inlineStr">
        <is>
          <t>Javi Sánchez</t>
        </is>
      </c>
      <c r="B396" t="n">
        <v>395</v>
      </c>
    </row>
    <row r="397">
      <c r="A397" t="inlineStr">
        <is>
          <t>Maguette Gueye</t>
        </is>
      </c>
      <c r="B397" t="n">
        <v>396</v>
      </c>
    </row>
    <row r="398">
      <c r="A398" t="inlineStr">
        <is>
          <t>Loic Williams</t>
        </is>
      </c>
      <c r="B398" t="n">
        <v>397</v>
      </c>
    </row>
    <row r="399">
      <c r="A399" t="inlineStr">
        <is>
          <t>Tachi</t>
        </is>
      </c>
      <c r="B399" t="n">
        <v>398</v>
      </c>
    </row>
    <row r="400">
      <c r="A400" t="inlineStr">
        <is>
          <t>Romain Matthys</t>
        </is>
      </c>
      <c r="B400" t="n">
        <v>399</v>
      </c>
    </row>
    <row r="401">
      <c r="A401" t="inlineStr">
        <is>
          <t>Nélson Monte</t>
        </is>
      </c>
      <c r="B401" t="n">
        <v>400</v>
      </c>
    </row>
    <row r="402">
      <c r="A402" t="inlineStr">
        <is>
          <t>Alcaraz</t>
        </is>
      </c>
      <c r="B402" t="n">
        <v>401</v>
      </c>
    </row>
    <row r="403">
      <c r="A403" t="inlineStr">
        <is>
          <t>Jesús Owono</t>
        </is>
      </c>
      <c r="B403" t="n">
        <v>402</v>
      </c>
    </row>
    <row r="404">
      <c r="A404" t="inlineStr">
        <is>
          <t>Mario González</t>
        </is>
      </c>
      <c r="B404" t="n">
        <v>403</v>
      </c>
    </row>
    <row r="405">
      <c r="A405" t="inlineStr">
        <is>
          <t>Dalisson</t>
        </is>
      </c>
      <c r="B405" t="n">
        <v>404</v>
      </c>
    </row>
    <row r="406">
      <c r="A406" t="inlineStr">
        <is>
          <t>Fernando Martinez</t>
        </is>
      </c>
      <c r="B406" t="n">
        <v>405</v>
      </c>
    </row>
    <row r="407">
      <c r="A407" t="inlineStr">
        <is>
          <t>José Ángel Jurado</t>
        </is>
      </c>
      <c r="B407" t="n">
        <v>406</v>
      </c>
    </row>
    <row r="408">
      <c r="A408" t="inlineStr">
        <is>
          <t>David Gil</t>
        </is>
      </c>
      <c r="B408" t="n">
        <v>407</v>
      </c>
    </row>
    <row r="409">
      <c r="A409" t="inlineStr">
        <is>
          <t>Raúl Lizoain</t>
        </is>
      </c>
      <c r="B409" t="n">
        <v>408</v>
      </c>
    </row>
    <row r="410">
      <c r="A410" t="inlineStr">
        <is>
          <t>José Antonio Caro</t>
        </is>
      </c>
      <c r="B410" t="n">
        <v>409</v>
      </c>
    </row>
    <row r="411">
      <c r="A411" t="inlineStr">
        <is>
          <t>Mata</t>
        </is>
      </c>
      <c r="B411" t="n">
        <v>410</v>
      </c>
    </row>
    <row r="412">
      <c r="A412" t="inlineStr">
        <is>
          <t>Higinio</t>
        </is>
      </c>
      <c r="B412" t="n">
        <v>411</v>
      </c>
    </row>
    <row r="413">
      <c r="A413" t="inlineStr">
        <is>
          <t>Luís Maximiano</t>
        </is>
      </c>
      <c r="B413" t="n">
        <v>412</v>
      </c>
    </row>
    <row r="414">
      <c r="A414" t="inlineStr">
        <is>
          <t>Ibrahima Koné</t>
        </is>
      </c>
      <c r="B414" t="n">
        <v>413</v>
      </c>
    </row>
    <row r="415">
      <c r="A415" t="inlineStr">
        <is>
          <t>Xavi Sintes</t>
        </is>
      </c>
      <c r="B415" t="n">
        <v>414</v>
      </c>
    </row>
    <row r="416">
      <c r="A416" t="inlineStr">
        <is>
          <t>Iker Álvarez</t>
        </is>
      </c>
      <c r="B416" t="n">
        <v>415</v>
      </c>
    </row>
    <row r="417">
      <c r="A417" t="inlineStr">
        <is>
          <t>Sergio Gonzalez</t>
        </is>
      </c>
      <c r="B417" t="n">
        <v>416</v>
      </c>
    </row>
    <row r="418">
      <c r="A418" t="inlineStr">
        <is>
          <t>Iñaki Rupérez</t>
        </is>
      </c>
      <c r="B418" t="n">
        <v>417</v>
      </c>
    </row>
    <row r="419">
      <c r="A419" t="inlineStr">
        <is>
          <t>Radovanovic</t>
        </is>
      </c>
      <c r="B419" t="n">
        <v>418</v>
      </c>
    </row>
    <row r="420">
      <c r="A420" t="inlineStr">
        <is>
          <t>Jauregi</t>
        </is>
      </c>
      <c r="B420" t="n">
        <v>419</v>
      </c>
    </row>
    <row r="421">
      <c r="A421" t="inlineStr">
        <is>
          <t>Jair</t>
        </is>
      </c>
      <c r="B421" t="n">
        <v>420</v>
      </c>
    </row>
    <row r="422">
      <c r="A422" t="inlineStr">
        <is>
          <t>Yayo</t>
        </is>
      </c>
      <c r="B422" t="n">
        <v>421</v>
      </c>
    </row>
    <row r="423">
      <c r="A423" t="inlineStr">
        <is>
          <t>Rubén Sobrino</t>
        </is>
      </c>
      <c r="B423" t="n">
        <v>422</v>
      </c>
    </row>
    <row r="424">
      <c r="A424" t="inlineStr">
        <is>
          <t>Yaakobishvili</t>
        </is>
      </c>
      <c r="B424" t="n">
        <v>423</v>
      </c>
    </row>
    <row r="425">
      <c r="A425" t="inlineStr">
        <is>
          <t>Keidi Bare</t>
        </is>
      </c>
      <c r="B425" t="n">
        <v>424</v>
      </c>
    </row>
    <row r="426">
      <c r="A426" t="inlineStr">
        <is>
          <t>Einar Galilea</t>
        </is>
      </c>
      <c r="B426" t="n">
        <v>425</v>
      </c>
    </row>
    <row r="427">
      <c r="A427" t="inlineStr">
        <is>
          <t>Jon Balda</t>
        </is>
      </c>
      <c r="B427" t="n">
        <v>426</v>
      </c>
    </row>
    <row r="428">
      <c r="A428" t="inlineStr">
        <is>
          <t>Jaouab</t>
        </is>
      </c>
      <c r="B428" t="n">
        <v>427</v>
      </c>
    </row>
    <row r="429">
      <c r="A429" t="inlineStr">
        <is>
          <t>Sergio Postigo</t>
        </is>
      </c>
      <c r="B429" t="n">
        <v>428</v>
      </c>
    </row>
    <row r="430">
      <c r="A430" t="inlineStr">
        <is>
          <t>Michal Willmann</t>
        </is>
      </c>
      <c r="B430" t="n">
        <v>429</v>
      </c>
    </row>
    <row r="431">
      <c r="A431" t="inlineStr">
        <is>
          <t>Escalante</t>
        </is>
      </c>
      <c r="B431" t="n">
        <v>430</v>
      </c>
    </row>
    <row r="432">
      <c r="A432" t="inlineStr">
        <is>
          <t>Pepe Sanchez</t>
        </is>
      </c>
      <c r="B432" t="n">
        <v>431</v>
      </c>
    </row>
    <row r="433">
      <c r="A433" t="inlineStr">
        <is>
          <t>Figueredo</t>
        </is>
      </c>
      <c r="B433" t="n">
        <v>432</v>
      </c>
    </row>
    <row r="434">
      <c r="A434" t="inlineStr">
        <is>
          <t>Luis Hernández</t>
        </is>
      </c>
      <c r="B434" t="n">
        <v>433</v>
      </c>
    </row>
    <row r="435">
      <c r="A435" t="inlineStr">
        <is>
          <t>Fali</t>
        </is>
      </c>
      <c r="B435" t="n">
        <v>434</v>
      </c>
    </row>
    <row r="436">
      <c r="A436" t="inlineStr">
        <is>
          <t>Rubén Díez</t>
        </is>
      </c>
      <c r="B436" t="n">
        <v>435</v>
      </c>
    </row>
    <row r="437">
      <c r="A437" t="inlineStr">
        <is>
          <t>Diego Bri</t>
        </is>
      </c>
      <c r="B437" t="n">
        <v>436</v>
      </c>
    </row>
    <row r="438">
      <c r="A438" t="inlineStr">
        <is>
          <t>Pablo Pérez</t>
        </is>
      </c>
      <c r="B438" t="n">
        <v>437</v>
      </c>
    </row>
    <row r="439">
      <c r="A439" t="inlineStr">
        <is>
          <t>Jokin Gabilondo</t>
        </is>
      </c>
      <c r="B439" t="n">
        <v>438</v>
      </c>
    </row>
    <row r="440">
      <c r="A440" t="inlineStr">
        <is>
          <t>Toni Villa</t>
        </is>
      </c>
      <c r="B440" t="n">
        <v>439</v>
      </c>
    </row>
    <row r="441">
      <c r="A441" t="inlineStr">
        <is>
          <t>Adilson</t>
        </is>
      </c>
      <c r="B441" t="n">
        <v>440</v>
      </c>
    </row>
    <row r="442">
      <c r="A442" t="inlineStr">
        <is>
          <t>Sebastian Kosa</t>
        </is>
      </c>
      <c r="B442" t="n">
        <v>441</v>
      </c>
    </row>
    <row r="443">
      <c r="A443" t="inlineStr">
        <is>
          <t>Ronaldo</t>
        </is>
      </c>
      <c r="B443" t="n">
        <v>442</v>
      </c>
    </row>
    <row r="444">
      <c r="A444" t="inlineStr">
        <is>
          <t>Denis Genreau</t>
        </is>
      </c>
      <c r="B444" t="n">
        <v>443</v>
      </c>
    </row>
    <row r="445">
      <c r="A445" t="inlineStr">
        <is>
          <t>Nico Ratti</t>
        </is>
      </c>
      <c r="B445" t="n">
        <v>444</v>
      </c>
    </row>
    <row r="446">
      <c r="A446" t="inlineStr">
        <is>
          <t>Lucas Alcázar</t>
        </is>
      </c>
      <c r="B446" t="n">
        <v>445</v>
      </c>
    </row>
    <row r="447">
      <c r="A447" t="inlineStr">
        <is>
          <t>Ander Madariaga</t>
        </is>
      </c>
      <c r="B447" t="n">
        <v>446</v>
      </c>
    </row>
    <row r="448">
      <c r="A448" t="inlineStr">
        <is>
          <t>Manu Sánchez</t>
        </is>
      </c>
      <c r="B448" t="n">
        <v>447</v>
      </c>
    </row>
    <row r="449">
      <c r="A449" t="inlineStr">
        <is>
          <t>Marcelo Expósito</t>
        </is>
      </c>
      <c r="B449" t="n">
        <v>448</v>
      </c>
    </row>
    <row r="450">
      <c r="A450" t="inlineStr">
        <is>
          <t>Aurélio</t>
        </is>
      </c>
      <c r="B450" t="n">
        <v>449</v>
      </c>
    </row>
    <row r="451">
      <c r="A451" t="inlineStr">
        <is>
          <t>Flakus Bosilj</t>
        </is>
      </c>
      <c r="B451" t="n">
        <v>450</v>
      </c>
    </row>
    <row r="452">
      <c r="A452" t="inlineStr">
        <is>
          <t>Ángel Pérez</t>
        </is>
      </c>
      <c r="B452" t="n">
        <v>451</v>
      </c>
    </row>
    <row r="453">
      <c r="A453" t="inlineStr">
        <is>
          <t>Diego Alende</t>
        </is>
      </c>
      <c r="B453" t="n">
        <v>452</v>
      </c>
    </row>
    <row r="454">
      <c r="A454" t="inlineStr">
        <is>
          <t>Suleiman Camara</t>
        </is>
      </c>
      <c r="B454" t="n">
        <v>453</v>
      </c>
    </row>
    <row r="455">
      <c r="A455" t="inlineStr">
        <is>
          <t>Sydney Osazuwa</t>
        </is>
      </c>
      <c r="B455" t="n">
        <v>454</v>
      </c>
    </row>
    <row r="456">
      <c r="A456" t="inlineStr">
        <is>
          <t>Joel Sanchez</t>
        </is>
      </c>
      <c r="B456" t="n">
        <v>455</v>
      </c>
    </row>
    <row r="457">
      <c r="A457" t="inlineStr">
        <is>
          <t>Álex Calvo</t>
        </is>
      </c>
      <c r="B457" t="n">
        <v>456</v>
      </c>
    </row>
    <row r="458">
      <c r="A458" t="inlineStr">
        <is>
          <t>Rubén López</t>
        </is>
      </c>
      <c r="B458" t="n">
        <v>457</v>
      </c>
    </row>
    <row r="459">
      <c r="A459" t="inlineStr">
        <is>
          <t>Ander Martín</t>
        </is>
      </c>
      <c r="B459" t="n">
        <v>458</v>
      </c>
    </row>
    <row r="460">
      <c r="A460" t="inlineStr">
        <is>
          <t>Javier Mier</t>
        </is>
      </c>
      <c r="B460" t="n">
        <v>459</v>
      </c>
    </row>
    <row r="461">
      <c r="A461" t="inlineStr">
        <is>
          <t>Adrián Arnu</t>
        </is>
      </c>
      <c r="B461" t="n">
        <v>460</v>
      </c>
    </row>
    <row r="462">
      <c r="A462" t="inlineStr">
        <is>
          <t>Josep Cerdà</t>
        </is>
      </c>
      <c r="B462" t="n">
        <v>461</v>
      </c>
    </row>
    <row r="463">
      <c r="A463" t="inlineStr">
        <is>
          <t>Baba</t>
        </is>
      </c>
      <c r="B463" t="n">
        <v>462</v>
      </c>
    </row>
    <row r="464">
      <c r="A464" t="inlineStr">
        <is>
          <t>Juan Pérez</t>
        </is>
      </c>
      <c r="B464" t="n">
        <v>463</v>
      </c>
    </row>
    <row r="465">
      <c r="A465" t="inlineStr">
        <is>
          <t>Sinan Bakis</t>
        </is>
      </c>
      <c r="B465" t="n">
        <v>464</v>
      </c>
    </row>
    <row r="466">
      <c r="A466" t="inlineStr">
        <is>
          <t>Sory Kaba</t>
        </is>
      </c>
      <c r="B466" t="n">
        <v>465</v>
      </c>
    </row>
    <row r="467">
      <c r="A467" t="inlineStr">
        <is>
          <t>Sergi Maestre</t>
        </is>
      </c>
      <c r="B467" t="n">
        <v>466</v>
      </c>
    </row>
    <row r="468">
      <c r="A468" t="inlineStr">
        <is>
          <t>Mario Cantero</t>
        </is>
      </c>
      <c r="B468" t="n">
        <v>467</v>
      </c>
    </row>
    <row r="469">
      <c r="A469" t="inlineStr">
        <is>
          <t>Jesús Bernal</t>
        </is>
      </c>
      <c r="B469" t="n">
        <v>468</v>
      </c>
    </row>
    <row r="470">
      <c r="A470" t="inlineStr">
        <is>
          <t>Miguel Bañuz</t>
        </is>
      </c>
      <c r="B470" t="n">
        <v>469</v>
      </c>
    </row>
    <row r="471">
      <c r="A471" t="inlineStr">
        <is>
          <t>Hugo Pérez</t>
        </is>
      </c>
      <c r="B471" t="n">
        <v>470</v>
      </c>
    </row>
    <row r="472">
      <c r="A472" t="inlineStr">
        <is>
          <t>Álvaro Martín</t>
        </is>
      </c>
      <c r="B472" t="n">
        <v>471</v>
      </c>
    </row>
    <row r="473">
      <c r="A473" t="inlineStr">
        <is>
          <t>Rubén Pulido</t>
        </is>
      </c>
      <c r="B473" t="n">
        <v>472</v>
      </c>
    </row>
    <row r="474">
      <c r="A474" t="inlineStr">
        <is>
          <t>Erik Morán</t>
        </is>
      </c>
      <c r="B474" t="n">
        <v>473</v>
      </c>
    </row>
    <row r="475">
      <c r="A475" t="inlineStr">
        <is>
          <t>Álvaro Aceves</t>
        </is>
      </c>
      <c r="B475" t="n">
        <v>474</v>
      </c>
    </row>
    <row r="476">
      <c r="A476" t="inlineStr">
        <is>
          <t>Ander Astralaga</t>
        </is>
      </c>
      <c r="B476" t="n">
        <v>475</v>
      </c>
    </row>
    <row r="477">
      <c r="A477" t="inlineStr">
        <is>
          <t>Jordi Martín</t>
        </is>
      </c>
      <c r="B477" t="n">
        <v>476</v>
      </c>
    </row>
    <row r="478">
      <c r="A478" t="inlineStr">
        <is>
          <t>Brais Martínez</t>
        </is>
      </c>
      <c r="B478" t="n">
        <v>477</v>
      </c>
    </row>
    <row r="479">
      <c r="A479" t="inlineStr">
        <is>
          <t>Saúl del Cerro</t>
        </is>
      </c>
      <c r="B479" t="n">
        <v>478</v>
      </c>
    </row>
    <row r="480">
      <c r="A480" t="inlineStr">
        <is>
          <t>Carlos López</t>
        </is>
      </c>
      <c r="B480" t="n">
        <v>479</v>
      </c>
    </row>
    <row r="481">
      <c r="A481" t="inlineStr">
        <is>
          <t>Joaquín González</t>
        </is>
      </c>
      <c r="B481" t="n">
        <v>480</v>
      </c>
    </row>
    <row r="482">
      <c r="A482" t="inlineStr">
        <is>
          <t>Martí Vilà</t>
        </is>
      </c>
      <c r="B482" t="n">
        <v>481</v>
      </c>
    </row>
    <row r="483">
      <c r="A483" t="inlineStr">
        <is>
          <t>Darío Ramírez</t>
        </is>
      </c>
      <c r="B483" t="n">
        <v>482</v>
      </c>
    </row>
    <row r="484">
      <c r="A484" t="inlineStr">
        <is>
          <t>Manu Rico</t>
        </is>
      </c>
      <c r="B484" t="n">
        <v>483</v>
      </c>
    </row>
    <row r="485">
      <c r="A485" t="inlineStr">
        <is>
          <t>Marciano Sanca</t>
        </is>
      </c>
      <c r="B485" t="n">
        <v>484</v>
      </c>
    </row>
    <row r="486">
      <c r="A486" t="inlineStr">
        <is>
          <t>Diego Gómez</t>
        </is>
      </c>
      <c r="B486" t="n">
        <v>485</v>
      </c>
    </row>
    <row r="487">
      <c r="A487" t="inlineStr">
        <is>
          <t>Dani Martín</t>
        </is>
      </c>
      <c r="B487" t="n">
        <v>486</v>
      </c>
    </row>
    <row r="488">
      <c r="A488" t="inlineStr">
        <is>
          <t>Albert Caparrós</t>
        </is>
      </c>
      <c r="B488" t="n">
        <v>487</v>
      </c>
    </row>
    <row r="489">
      <c r="A489" t="inlineStr">
        <is>
          <t>Stefan Dzodic</t>
        </is>
      </c>
      <c r="B489" t="n">
        <v>488</v>
      </c>
    </row>
    <row r="490">
      <c r="A490" t="inlineStr">
        <is>
          <t>Luis López</t>
        </is>
      </c>
      <c r="B490" t="n">
        <v>489</v>
      </c>
    </row>
    <row r="491">
      <c r="A491" t="inlineStr">
        <is>
          <t>Eric Puerto</t>
        </is>
      </c>
      <c r="B491" t="n">
        <v>490</v>
      </c>
    </row>
    <row r="492">
      <c r="A492" t="inlineStr">
        <is>
          <t>Nikola Milicic</t>
        </is>
      </c>
      <c r="B492" t="n">
        <v>491</v>
      </c>
    </row>
    <row r="493">
      <c r="A493" t="inlineStr">
        <is>
          <t>Egoitz Arana</t>
        </is>
      </c>
      <c r="B493" t="n">
        <v>492</v>
      </c>
    </row>
    <row r="494">
      <c r="A494" t="inlineStr">
        <is>
          <t>Adam Arvelo</t>
        </is>
      </c>
      <c r="B494" t="n">
        <v>493</v>
      </c>
    </row>
    <row r="495">
      <c r="A495" t="inlineStr">
        <is>
          <t>Moussa Diarra</t>
        </is>
      </c>
      <c r="B495" t="n">
        <v>494</v>
      </c>
    </row>
    <row r="496">
      <c r="A496" t="inlineStr">
        <is>
          <t>Alex Marchal</t>
        </is>
      </c>
      <c r="B496" t="n">
        <v>495</v>
      </c>
    </row>
    <row r="497">
      <c r="A497" t="inlineStr">
        <is>
          <t>Isaac Obeng</t>
        </is>
      </c>
      <c r="B497" t="n">
        <v>496</v>
      </c>
    </row>
    <row r="498">
      <c r="A498" t="inlineStr">
        <is>
          <t>Ro Abajas</t>
        </is>
      </c>
      <c r="B498" t="n">
        <v>497</v>
      </c>
    </row>
    <row r="499">
      <c r="A499" t="inlineStr">
        <is>
          <t>Jorge Delgado</t>
        </is>
      </c>
      <c r="B499" t="n">
        <v>498</v>
      </c>
    </row>
    <row r="500">
      <c r="A500" t="inlineStr">
        <is>
          <t>Adri Suárez</t>
        </is>
      </c>
      <c r="B500" t="n">
        <v>499</v>
      </c>
    </row>
    <row r="501">
      <c r="A501" t="inlineStr">
        <is>
          <t>David García</t>
        </is>
      </c>
      <c r="B501" t="n">
        <v>500</v>
      </c>
    </row>
    <row r="502">
      <c r="A502" t="inlineStr">
        <is>
          <t>Arnau Rafús</t>
        </is>
      </c>
      <c r="B502" t="n">
        <v>501</v>
      </c>
    </row>
    <row r="503">
      <c r="A503" t="inlineStr">
        <is>
          <t>Ekain Díaz</t>
        </is>
      </c>
      <c r="B503" t="n">
        <v>502</v>
      </c>
    </row>
    <row r="504">
      <c r="A504" t="inlineStr">
        <is>
          <t>Gabriel Barès</t>
        </is>
      </c>
      <c r="B504" t="n">
        <v>503</v>
      </c>
    </row>
    <row r="505">
      <c r="A505" t="inlineStr">
        <is>
          <t>Astigarraga</t>
        </is>
      </c>
      <c r="B505" t="n">
        <v>504</v>
      </c>
    </row>
    <row r="506">
      <c r="A506" t="inlineStr">
        <is>
          <t>Andrés Campos</t>
        </is>
      </c>
      <c r="B506" t="n">
        <v>505</v>
      </c>
    </row>
    <row r="507">
      <c r="A507" t="inlineStr">
        <is>
          <t>Ramón Enríquez</t>
        </is>
      </c>
      <c r="B507" t="n">
        <v>506</v>
      </c>
    </row>
    <row r="508">
      <c r="A508" t="inlineStr">
        <is>
          <t>Ayman Arguigue</t>
        </is>
      </c>
      <c r="B508" t="n">
        <v>507</v>
      </c>
    </row>
    <row r="509">
      <c r="A509" t="inlineStr">
        <is>
          <t>Miguel San Román</t>
        </is>
      </c>
      <c r="B509" t="n">
        <v>508</v>
      </c>
    </row>
    <row r="510">
      <c r="A510" t="inlineStr">
        <is>
          <t>Álex Oyón</t>
        </is>
      </c>
      <c r="B510" t="n">
        <v>509</v>
      </c>
    </row>
    <row r="511">
      <c r="A511" t="inlineStr">
        <is>
          <t>Haitam Abaida</t>
        </is>
      </c>
      <c r="B511" t="n">
        <v>510</v>
      </c>
    </row>
    <row r="512">
      <c r="A512" t="inlineStr">
        <is>
          <t>Mamadou Traoré</t>
        </is>
      </c>
      <c r="B512" t="n">
        <v>511</v>
      </c>
    </row>
    <row r="513">
      <c r="A513" t="inlineStr">
        <is>
          <t>Francisco Mwepu</t>
        </is>
      </c>
      <c r="B513" t="n">
        <v>512</v>
      </c>
    </row>
    <row r="514">
      <c r="A514" t="inlineStr">
        <is>
          <t>Jorge Moreno</t>
        </is>
      </c>
      <c r="B514" t="n">
        <v>513</v>
      </c>
    </row>
    <row r="515">
      <c r="A515" t="inlineStr">
        <is>
          <t>Yann Kembo</t>
        </is>
      </c>
      <c r="B515" t="n">
        <v>514</v>
      </c>
    </row>
    <row r="516">
      <c r="A516" t="inlineStr">
        <is>
          <t>Taufek Bayoud</t>
        </is>
      </c>
      <c r="B516" t="n">
        <v>515</v>
      </c>
    </row>
    <row r="517">
      <c r="A517" t="inlineStr">
        <is>
          <t>Pomares</t>
        </is>
      </c>
      <c r="B517" t="n">
        <v>516</v>
      </c>
    </row>
    <row r="518">
      <c r="A518" t="inlineStr">
        <is>
          <t>Redruello</t>
        </is>
      </c>
      <c r="B518" t="n">
        <v>517</v>
      </c>
    </row>
    <row r="519">
      <c r="A519" t="inlineStr">
        <is>
          <t>Eneko Satrústegui</t>
        </is>
      </c>
      <c r="B519" t="n">
        <v>518</v>
      </c>
    </row>
    <row r="520">
      <c r="A520" t="inlineStr">
        <is>
          <t>Diego Hormigo</t>
        </is>
      </c>
      <c r="B520" t="n">
        <v>519</v>
      </c>
    </row>
    <row r="521">
      <c r="A521" t="inlineStr">
        <is>
          <t>Yago Cantero</t>
        </is>
      </c>
      <c r="B521" t="n">
        <v>520</v>
      </c>
    </row>
    <row r="522">
      <c r="A522" t="inlineStr">
        <is>
          <t>Manu Lama</t>
        </is>
      </c>
      <c r="B522" t="n">
        <v>521</v>
      </c>
    </row>
    <row r="523">
      <c r="A523" t="inlineStr">
        <is>
          <t>Alberto Jiménez</t>
        </is>
      </c>
      <c r="B523" t="n">
        <v>522</v>
      </c>
    </row>
    <row r="524">
      <c r="A524" t="inlineStr">
        <is>
          <t>Selu Diallo</t>
        </is>
      </c>
      <c r="B524" t="n">
        <v>523</v>
      </c>
    </row>
    <row r="525">
      <c r="A525" t="inlineStr">
        <is>
          <t>Iker Córdoba</t>
        </is>
      </c>
      <c r="B525" t="n">
        <v>524</v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I46"/>
  <sheetViews>
    <sheetView workbookViewId="0">
      <selection activeCell="A1" sqref="A1"/>
    </sheetView>
  </sheetViews>
  <sheetFormatPr baseColWidth="10" defaultRowHeight="12.5"/>
  <cols>
    <col width="17" bestFit="1" customWidth="1" min="1" max="1"/>
    <col width="12.36328125" customWidth="1" min="2" max="2"/>
    <col width="13.90625" bestFit="1" customWidth="1" min="3" max="3"/>
    <col width="14" bestFit="1" customWidth="1" min="4" max="4"/>
    <col width="17.453125" bestFit="1" customWidth="1" min="5" max="5"/>
    <col width="11.1796875" bestFit="1" customWidth="1" min="6" max="6"/>
    <col width="10.90625" customWidth="1" min="7" max="7"/>
    <col width="16.6328125" customWidth="1" min="8" max="8"/>
    <col width="18.26953125" customWidth="1" min="9" max="9"/>
    <col width="17.26953125" customWidth="1" min="10" max="10"/>
    <col width="18.6328125" customWidth="1" min="11" max="11"/>
    <col width="10.90625" customWidth="1" min="12" max="12"/>
  </cols>
  <sheetData>
    <row r="1" ht="13" customFormat="1" customHeight="1" s="2" thickBot="1"/>
    <row r="2" ht="13" customHeight="1" thickBot="1">
      <c r="H2" t="inlineStr">
        <is>
          <t>Buscar Jugador:</t>
        </is>
      </c>
      <c r="I2" s="23" t="inlineStr">
        <is>
          <t>David Torres</t>
        </is>
      </c>
    </row>
    <row r="3" ht="13" customHeight="1" thickBot="1">
      <c r="H3" t="inlineStr">
        <is>
          <t>Clausula:</t>
        </is>
      </c>
      <c r="I3" s="24">
        <f>VLOOKUP(I2,Clausulas!$A$5:$F$46,5,0)</f>
        <v/>
      </c>
    </row>
    <row r="4">
      <c r="A4" s="2" t="inlineStr">
        <is>
          <t>Fichajes</t>
        </is>
      </c>
      <c r="B4" s="2" t="inlineStr">
        <is>
          <t>Clausula</t>
        </is>
      </c>
      <c r="C4" s="2" t="inlineStr">
        <is>
          <t>Usuario</t>
        </is>
      </c>
      <c r="D4" s="2" t="inlineStr">
        <is>
          <t>ID</t>
        </is>
      </c>
      <c r="E4" s="2" t="inlineStr">
        <is>
          <t>Clausula Final</t>
        </is>
      </c>
      <c r="F4" s="25" t="inlineStr">
        <is>
          <t>Repetido?</t>
        </is>
      </c>
    </row>
    <row r="5">
      <c r="A5" t="inlineStr">
        <is>
          <t>Lander Olaetxea</t>
        </is>
      </c>
      <c r="B5" s="18" t="n">
        <v>3180000</v>
      </c>
      <c r="C5" t="inlineStr">
        <is>
          <t>Cachoneros</t>
        </is>
      </c>
      <c r="D5">
        <f>VLOOKUP(A5,Id_Jugadores!A$2:B$523,2,0)</f>
        <v/>
      </c>
      <c r="E5" s="26">
        <f>_xlfn.MAXIFS(Clausulas!$B$5:$B$46,Clausulas!$D$5:$D$46,Clausulas!$D5)</f>
        <v/>
      </c>
      <c r="F5">
        <f>IF(COUNTIF(Clausulas!$D$5:$D$46,D5)=2,"Si","No")</f>
        <v/>
      </c>
    </row>
    <row r="6">
      <c r="A6" t="inlineStr">
        <is>
          <t>Marc Cardona</t>
        </is>
      </c>
      <c r="B6" s="18" t="n">
        <v>770100</v>
      </c>
      <c r="C6" t="inlineStr">
        <is>
          <t>Cachoneros</t>
        </is>
      </c>
      <c r="D6">
        <f>VLOOKUP(A6,Id_Jugadores!A$2:B$523,2,0)</f>
        <v/>
      </c>
      <c r="E6" s="26">
        <f>_xlfn.MAXIFS(Clausulas!$B$5:$B$46,Clausulas!$D$5:$D$46,Clausulas!$D6)</f>
        <v/>
      </c>
      <c r="F6">
        <f>IF(COUNTIF(Clausulas!$D$5:$D$46,D6)=2,"Si","No")</f>
        <v/>
      </c>
    </row>
    <row r="7">
      <c r="A7" t="inlineStr">
        <is>
          <t>Adrián Rodríguez</t>
        </is>
      </c>
      <c r="B7" s="18" t="n">
        <v>670110</v>
      </c>
      <c r="C7" t="inlineStr">
        <is>
          <t>Cachoneros</t>
        </is>
      </c>
      <c r="D7">
        <f>VLOOKUP(A7,Id_Jugadores!A$2:B$523,2,0)</f>
        <v/>
      </c>
      <c r="E7" s="26">
        <f>_xlfn.MAXIFS(Clausulas!$B$5:$B$46,Clausulas!$D$5:$D$46,Clausulas!$D7)</f>
        <v/>
      </c>
      <c r="F7">
        <f>IF(COUNTIF(Clausulas!$D$5:$D$46,D7)=2,"Si","No")</f>
        <v/>
      </c>
    </row>
    <row r="8">
      <c r="A8" t="inlineStr">
        <is>
          <t>Jastin Garcia</t>
        </is>
      </c>
      <c r="B8" s="18" t="n">
        <v>691000</v>
      </c>
      <c r="C8" t="inlineStr">
        <is>
          <t>Cachoneros</t>
        </is>
      </c>
      <c r="D8">
        <f>VLOOKUP(A8,Id_Jugadores!A$2:B$523,2,0)</f>
        <v/>
      </c>
      <c r="E8" s="26">
        <f>_xlfn.MAXIFS(Clausulas!$B$5:$B$46,Clausulas!$D$5:$D$46,Clausulas!$D8)</f>
        <v/>
      </c>
      <c r="F8">
        <f>IF(COUNTIF(Clausulas!$D$5:$D$46,D8)=2,"Si","No")</f>
        <v/>
      </c>
    </row>
    <row r="9">
      <c r="A9" t="inlineStr">
        <is>
          <t>Mario Climent</t>
        </is>
      </c>
      <c r="B9" s="18" t="n">
        <v>4000000</v>
      </c>
      <c r="C9" t="inlineStr">
        <is>
          <t>Guacamayos</t>
        </is>
      </c>
      <c r="D9">
        <f>VLOOKUP(A9,Id_Jugadores!A$2:B$523,2,0)</f>
        <v/>
      </c>
      <c r="E9" s="26">
        <f>_xlfn.MAXIFS(Clausulas!$B$5:$B$46,Clausulas!$D$5:$D$46,Clausulas!$D9)</f>
        <v/>
      </c>
      <c r="F9">
        <f>IF(COUNTIF(Clausulas!$D$5:$D$46,D9)=2,"Si","No")</f>
        <v/>
      </c>
    </row>
    <row r="10">
      <c r="A10" t="inlineStr">
        <is>
          <t>Álex Calatrava</t>
        </is>
      </c>
      <c r="B10" s="18" t="n">
        <v>8000000</v>
      </c>
      <c r="C10" t="inlineStr">
        <is>
          <t>Guacamayos</t>
        </is>
      </c>
      <c r="D10">
        <f>VLOOKUP(A10,Id_Jugadores!A$2:B$523,2,0)</f>
        <v/>
      </c>
      <c r="E10" s="26">
        <f>_xlfn.MAXIFS(Clausulas!$B$5:$B$46,Clausulas!$D$5:$D$46,Clausulas!$D10)</f>
        <v/>
      </c>
      <c r="F10">
        <f>IF(COUNTIF(Clausulas!$D$5:$D$46,D10)=2,"Si","No")</f>
        <v/>
      </c>
    </row>
    <row r="11">
      <c r="A11" t="inlineStr">
        <is>
          <t>Amatucci</t>
        </is>
      </c>
      <c r="B11" s="18" t="n">
        <v>3300000</v>
      </c>
      <c r="C11" t="inlineStr">
        <is>
          <t>Guacamayos</t>
        </is>
      </c>
      <c r="D11">
        <f>VLOOKUP(A11,Id_Jugadores!A$2:B$523,2,0)</f>
        <v/>
      </c>
      <c r="E11" s="26">
        <f>_xlfn.MAXIFS(Clausulas!$B$5:$B$46,Clausulas!$D$5:$D$46,Clausulas!$D11)</f>
        <v/>
      </c>
      <c r="F11">
        <f>IF(COUNTIF(Clausulas!$D$5:$D$46,D11)=2,"Si","No")</f>
        <v/>
      </c>
    </row>
    <row r="12">
      <c r="A12" t="inlineStr">
        <is>
          <t>Iza Carcelen</t>
        </is>
      </c>
      <c r="B12" s="18" t="n">
        <v>4200000</v>
      </c>
      <c r="C12" t="inlineStr">
        <is>
          <t>Real Garruchos</t>
        </is>
      </c>
      <c r="D12">
        <f>VLOOKUP(A12,Id_Jugadores!A$2:B$523,2,0)</f>
        <v/>
      </c>
      <c r="E12" s="26">
        <f>_xlfn.MAXIFS(Clausulas!$B$5:$B$46,Clausulas!$D$5:$D$46,Clausulas!$D12)</f>
        <v/>
      </c>
      <c r="F12">
        <f>IF(COUNTIF(Clausulas!$D$5:$D$46,D12)=2,"Si","No")</f>
        <v/>
      </c>
    </row>
    <row r="13">
      <c r="A13" t="inlineStr">
        <is>
          <t>Marcos de Sousa</t>
        </is>
      </c>
      <c r="B13" s="18" t="n">
        <v>3000000</v>
      </c>
      <c r="C13" t="inlineStr">
        <is>
          <t>Real Garruchos</t>
        </is>
      </c>
      <c r="D13">
        <f>VLOOKUP(A13,Id_Jugadores!A$2:B$523,2,0)</f>
        <v/>
      </c>
      <c r="E13" s="26">
        <f>_xlfn.MAXIFS(Clausulas!$B$5:$B$46,Clausulas!$D$5:$D$46,Clausulas!$D13)</f>
        <v/>
      </c>
      <c r="F13">
        <f>IF(COUNTIF(Clausulas!$D$5:$D$46,D13)=2,"Si","No")</f>
        <v/>
      </c>
    </row>
    <row r="14">
      <c r="A14" t="inlineStr">
        <is>
          <t>Chuki</t>
        </is>
      </c>
      <c r="B14" s="18" t="n">
        <v>5000000</v>
      </c>
      <c r="C14" t="inlineStr">
        <is>
          <t>Real Garruchos</t>
        </is>
      </c>
      <c r="D14">
        <f>VLOOKUP(A14,Id_Jugadores!A$2:B$523,2,0)</f>
        <v/>
      </c>
      <c r="E14" s="26">
        <f>_xlfn.MAXIFS(Clausulas!$B$5:$B$46,Clausulas!$D$5:$D$46,Clausulas!$D14)</f>
        <v/>
      </c>
      <c r="F14">
        <f>IF(COUNTIF(Clausulas!$D$5:$D$46,D14)=2,"Si","No")</f>
        <v/>
      </c>
    </row>
    <row r="15">
      <c r="A15" t="inlineStr">
        <is>
          <t>Mateo Mejía</t>
        </is>
      </c>
      <c r="B15" s="18" t="n">
        <v>1190000</v>
      </c>
      <c r="C15" t="inlineStr">
        <is>
          <t>Real Garruchos</t>
        </is>
      </c>
      <c r="D15">
        <f>VLOOKUP(A15,Id_Jugadores!A$2:B$523,2,0)</f>
        <v/>
      </c>
      <c r="E15" s="26">
        <f>_xlfn.MAXIFS(Clausulas!$B$5:$B$46,Clausulas!$D$5:$D$46,Clausulas!$D15)</f>
        <v/>
      </c>
      <c r="F15">
        <f>IF(COUNTIF(Clausulas!$D$5:$D$46,D15)=2,"Si","No")</f>
        <v/>
      </c>
    </row>
    <row r="16">
      <c r="A16" t="inlineStr">
        <is>
          <t>David Torres</t>
        </is>
      </c>
      <c r="B16" s="27" t="n">
        <v>6500000</v>
      </c>
      <c r="C16" t="inlineStr">
        <is>
          <t>Real Garruchos</t>
        </is>
      </c>
      <c r="D16">
        <f>VLOOKUP(A16,Id_Jugadores!A$2:B$523,2,0)</f>
        <v/>
      </c>
      <c r="E16" s="26">
        <f>_xlfn.MAXIFS(Clausulas!$B$5:$B$46,Clausulas!$D$5:$D$46,Clausulas!$D16)</f>
        <v/>
      </c>
      <c r="F16">
        <f>IF(COUNTIF(Clausulas!$D$5:$D$46,D16)=2,"Si","No")</f>
        <v/>
      </c>
    </row>
    <row r="17">
      <c r="A17" t="inlineStr">
        <is>
          <t>Paulino</t>
        </is>
      </c>
      <c r="B17" s="18" t="n">
        <v>4050000</v>
      </c>
      <c r="C17" t="inlineStr">
        <is>
          <t>Steaua de grifo</t>
        </is>
      </c>
      <c r="D17">
        <f>VLOOKUP(A17,Id_Jugadores!A$2:B$523,2,0)</f>
        <v/>
      </c>
      <c r="E17" s="26">
        <f>_xlfn.MAXIFS(Clausulas!$B$5:$B$46,Clausulas!$D$5:$D$46,Clausulas!$D17)</f>
        <v/>
      </c>
      <c r="F17">
        <f>IF(COUNTIF(Clausulas!$D$5:$D$46,D17)=2,"Si","No")</f>
        <v/>
      </c>
    </row>
    <row r="18">
      <c r="A18" t="inlineStr">
        <is>
          <t>Peru Rodríguez</t>
        </is>
      </c>
      <c r="B18" s="18" t="n">
        <v>1530030</v>
      </c>
      <c r="C18" t="inlineStr">
        <is>
          <t>Steaua de grifo</t>
        </is>
      </c>
      <c r="D18">
        <f>VLOOKUP(A18,Id_Jugadores!A$2:B$523,2,0)</f>
        <v/>
      </c>
      <c r="E18" s="26">
        <f>_xlfn.MAXIFS(Clausulas!$B$5:$B$46,Clausulas!$D$5:$D$46,Clausulas!$D18)</f>
        <v/>
      </c>
      <c r="F18">
        <f>IF(COUNTIF(Clausulas!$D$5:$D$46,D18)=2,"Si","No")</f>
        <v/>
      </c>
    </row>
    <row r="19">
      <c r="A19" t="inlineStr">
        <is>
          <t>Ximo Navarro</t>
        </is>
      </c>
      <c r="B19" s="27" t="n">
        <v>3270000</v>
      </c>
      <c r="C19" t="inlineStr">
        <is>
          <t>Steaua de grifo</t>
        </is>
      </c>
      <c r="D19">
        <f>VLOOKUP(A19,Id_Jugadores!A$2:B$523,2,0)</f>
        <v/>
      </c>
      <c r="E19" s="26">
        <f>_xlfn.MAXIFS(Clausulas!$B$5:$B$46,Clausulas!$D$5:$D$46,Clausulas!$D19)</f>
        <v/>
      </c>
      <c r="F19">
        <f>IF(COUNTIF(Clausulas!$D$5:$D$46,D19)=2,"Si","No")</f>
        <v/>
      </c>
    </row>
    <row r="20">
      <c r="A20" t="inlineStr">
        <is>
          <t>Guti</t>
        </is>
      </c>
      <c r="B20" s="27" t="n">
        <v>3570000</v>
      </c>
      <c r="C20" t="inlineStr">
        <is>
          <t>Steaua de grifo</t>
        </is>
      </c>
      <c r="D20">
        <f>VLOOKUP(A20,Id_Jugadores!A$2:B$523,2,0)</f>
        <v/>
      </c>
      <c r="E20" s="26">
        <f>_xlfn.MAXIFS(Clausulas!$B$5:$B$46,Clausulas!$D$5:$D$46,Clausulas!$D20)</f>
        <v/>
      </c>
      <c r="F20">
        <f>IF(COUNTIF(Clausulas!$D$5:$D$46,D20)=2,"Si","No")</f>
        <v/>
      </c>
    </row>
    <row r="21">
      <c r="A21" t="inlineStr">
        <is>
          <t>Álvaro Rodríguez</t>
        </is>
      </c>
      <c r="B21" s="27" t="n">
        <v>800000</v>
      </c>
      <c r="C21" t="inlineStr">
        <is>
          <t>Steaua de grifo</t>
        </is>
      </c>
      <c r="D21">
        <f>VLOOKUP(A21,Id_Jugadores!A$2:B$523,2,0)</f>
        <v/>
      </c>
      <c r="E21" s="26">
        <f>_xlfn.MAXIFS(Clausulas!$B$5:$B$46,Clausulas!$D$5:$D$46,Clausulas!$D21)</f>
        <v/>
      </c>
      <c r="F21">
        <f>IF(COUNTIF(Clausulas!$D$5:$D$46,D21)=2,"Si","No")</f>
        <v/>
      </c>
    </row>
    <row r="22">
      <c r="A22" t="inlineStr">
        <is>
          <t>Higinio</t>
        </is>
      </c>
      <c r="B22" s="18" t="n">
        <v>1720000</v>
      </c>
      <c r="C22" t="inlineStr">
        <is>
          <t>Steaua de grifo</t>
        </is>
      </c>
      <c r="D22">
        <f>VLOOKUP(A22,Id_Jugadores!A$2:B$523,2,0)</f>
        <v/>
      </c>
      <c r="E22" s="26">
        <f>_xlfn.MAXIFS(Clausulas!$B$5:$B$46,Clausulas!$D$5:$D$46,Clausulas!$D22)</f>
        <v/>
      </c>
      <c r="F22">
        <f>IF(COUNTIF(Clausulas!$D$5:$D$46,D22)=2,"Si","No")</f>
        <v/>
      </c>
    </row>
    <row r="23">
      <c r="A23" t="inlineStr">
        <is>
          <t>Min-su</t>
        </is>
      </c>
      <c r="B23" s="18" t="n">
        <v>1230000</v>
      </c>
      <c r="C23" t="inlineStr">
        <is>
          <t>Steaua de grifo</t>
        </is>
      </c>
      <c r="D23">
        <f>VLOOKUP(A23,Id_Jugadores!A$2:B$523,2,0)</f>
        <v/>
      </c>
      <c r="E23" s="26">
        <f>_xlfn.MAXIFS(Clausulas!$B$5:$B$46,Clausulas!$D$5:$D$46,Clausulas!$D23)</f>
        <v/>
      </c>
      <c r="F23">
        <f>IF(COUNTIF(Clausulas!$D$5:$D$46,D23)=2,"Si","No")</f>
        <v/>
      </c>
    </row>
    <row r="24">
      <c r="A24" t="inlineStr">
        <is>
          <t>Miguel Atienza</t>
        </is>
      </c>
      <c r="B24" s="27" t="n">
        <v>3520000</v>
      </c>
      <c r="C24" t="inlineStr">
        <is>
          <t>Steaua de grifo</t>
        </is>
      </c>
      <c r="D24">
        <f>VLOOKUP(A24,Id_Jugadores!A$2:B$523,2,0)</f>
        <v/>
      </c>
      <c r="E24" s="26">
        <f>_xlfn.MAXIFS(Clausulas!$B$5:$B$46,Clausulas!$D$5:$D$46,Clausulas!$D24)</f>
        <v/>
      </c>
      <c r="F24">
        <f>IF(COUNTIF(Clausulas!$D$5:$D$46,D24)=2,"Si","No")</f>
        <v/>
      </c>
    </row>
    <row r="25">
      <c r="A25" t="inlineStr">
        <is>
          <t>Álex Lizancos</t>
        </is>
      </c>
      <c r="B25" s="18" t="n">
        <v>650000</v>
      </c>
      <c r="C25" t="inlineStr">
        <is>
          <t>Mompia FC</t>
        </is>
      </c>
      <c r="D25">
        <f>VLOOKUP(A25,Id_Jugadores!A$2:B$523,2,0)</f>
        <v/>
      </c>
      <c r="E25" s="26">
        <f>_xlfn.MAXIFS(Clausulas!$B$5:$B$46,Clausulas!$D$5:$D$46,Clausulas!$D25)</f>
        <v/>
      </c>
      <c r="F25">
        <f>IF(COUNTIF(Clausulas!$D$5:$D$46,D25)=2,"Si","No")</f>
        <v/>
      </c>
    </row>
    <row r="26">
      <c r="A26" t="inlineStr">
        <is>
          <t>Nico Melamed</t>
        </is>
      </c>
      <c r="B26" s="18" t="n">
        <v>8000000</v>
      </c>
      <c r="C26" t="inlineStr">
        <is>
          <t>Mompia FC</t>
        </is>
      </c>
      <c r="D26">
        <f>VLOOKUP(A26,Id_Jugadores!A$2:B$523,2,0)</f>
        <v/>
      </c>
      <c r="E26" s="26">
        <f>_xlfn.MAXIFS(Clausulas!$B$5:$B$46,Clausulas!$D$5:$D$46,Clausulas!$D26)</f>
        <v/>
      </c>
      <c r="F26">
        <f>IF(COUNTIF(Clausulas!$D$5:$D$46,D26)=2,"Si","No")</f>
        <v/>
      </c>
    </row>
    <row r="27">
      <c r="A27" t="inlineStr">
        <is>
          <t>Ibrahima Koné</t>
        </is>
      </c>
      <c r="B27" s="27" t="n">
        <v>1750000</v>
      </c>
      <c r="C27" t="inlineStr">
        <is>
          <t>Mompia FC</t>
        </is>
      </c>
      <c r="D27">
        <f>VLOOKUP(A27,Id_Jugadores!A$2:B$523,2,0)</f>
        <v/>
      </c>
      <c r="E27" s="26">
        <f>_xlfn.MAXIFS(Clausulas!$B$5:$B$46,Clausulas!$D$5:$D$46,Clausulas!$D27)</f>
        <v/>
      </c>
      <c r="F27">
        <f>IF(COUNTIF(Clausulas!$D$5:$D$46,D27)=2,"Si","No")</f>
        <v/>
      </c>
    </row>
    <row r="28">
      <c r="A28" t="inlineStr">
        <is>
          <t>Jeremy Arévalo</t>
        </is>
      </c>
      <c r="B28" s="27" t="n">
        <v>300000</v>
      </c>
      <c r="C28" t="inlineStr">
        <is>
          <t>Mompia FC</t>
        </is>
      </c>
      <c r="D28">
        <f>VLOOKUP(A28,Id_Jugadores!A$2:B$523,2,0)</f>
        <v/>
      </c>
      <c r="E28" s="26">
        <f>_xlfn.MAXIFS(Clausulas!$B$5:$B$46,Clausulas!$D$5:$D$46,Clausulas!$D28)</f>
        <v/>
      </c>
      <c r="F28">
        <f>IF(COUNTIF(Clausulas!$D$5:$D$46,D28)=2,"Si","No")</f>
        <v/>
      </c>
    </row>
    <row r="29">
      <c r="A29" t="inlineStr">
        <is>
          <t>Xavi Sintes</t>
        </is>
      </c>
      <c r="B29" s="27" t="n">
        <v>1400000</v>
      </c>
      <c r="C29" t="inlineStr">
        <is>
          <t>Mompia FC</t>
        </is>
      </c>
      <c r="D29">
        <f>VLOOKUP(A29,Id_Jugadores!A$2:B$523,2,0)</f>
        <v/>
      </c>
      <c r="E29" s="26">
        <f>_xlfn.MAXIFS(Clausulas!$B$5:$B$46,Clausulas!$D$5:$D$46,Clausulas!$D29)</f>
        <v/>
      </c>
      <c r="F29">
        <f>IF(COUNTIF(Clausulas!$D$5:$D$46,D29)=2,"Si","No")</f>
        <v/>
      </c>
    </row>
    <row r="30">
      <c r="A30" t="inlineStr">
        <is>
          <t>Pau Sans</t>
        </is>
      </c>
      <c r="B30" s="18" t="n">
        <v>1800000</v>
      </c>
      <c r="C30" t="inlineStr">
        <is>
          <t>La Piñera</t>
        </is>
      </c>
      <c r="D30">
        <f>VLOOKUP(A30,Id_Jugadores!A$2:B$523,2,0)</f>
        <v/>
      </c>
      <c r="E30" s="26">
        <f>_xlfn.MAXIFS(Clausulas!$B$5:$B$46,Clausulas!$D$5:$D$46,Clausulas!$D30)</f>
        <v/>
      </c>
      <c r="F30">
        <f>IF(COUNTIF(Clausulas!$D$5:$D$46,D30)=2,"Si","No")</f>
        <v/>
      </c>
    </row>
    <row r="31">
      <c r="A31" t="inlineStr">
        <is>
          <t>Melero</t>
        </is>
      </c>
      <c r="B31" s="18" t="n">
        <v>3950000</v>
      </c>
      <c r="C31" t="inlineStr">
        <is>
          <t>La Piñera</t>
        </is>
      </c>
      <c r="D31">
        <f>VLOOKUP(A31,Id_Jugadores!A$2:B$523,2,0)</f>
        <v/>
      </c>
      <c r="E31" s="26">
        <f>_xlfn.MAXIFS(Clausulas!$B$5:$B$46,Clausulas!$D$5:$D$46,Clausulas!$D31)</f>
        <v/>
      </c>
      <c r="F31">
        <f>IF(COUNTIF(Clausulas!$D$5:$D$46,D31)=2,"Si","No")</f>
        <v/>
      </c>
    </row>
    <row r="32">
      <c r="A32" t="inlineStr">
        <is>
          <t>Manuel Fuster</t>
        </is>
      </c>
      <c r="B32" s="27" t="n">
        <v>7300000</v>
      </c>
      <c r="C32" t="inlineStr">
        <is>
          <t>La Piñera</t>
        </is>
      </c>
      <c r="D32">
        <f>VLOOKUP(A32,Id_Jugadores!A$2:B$523,2,0)</f>
        <v/>
      </c>
      <c r="E32" s="26">
        <f>_xlfn.MAXIFS(Clausulas!$B$5:$B$46,Clausulas!$D$5:$D$46,Clausulas!$D32)</f>
        <v/>
      </c>
      <c r="F32">
        <f>IF(COUNTIF(Clausulas!$D$5:$D$46,D32)=2,"Si","No")</f>
        <v/>
      </c>
    </row>
    <row r="33">
      <c r="A33" t="inlineStr">
        <is>
          <t>Alfonso Herrero</t>
        </is>
      </c>
      <c r="B33" s="27" t="n">
        <v>5700000</v>
      </c>
      <c r="C33" t="inlineStr">
        <is>
          <t>La Piñera</t>
        </is>
      </c>
      <c r="D33">
        <f>VLOOKUP(A33,Id_Jugadores!A$2:B$523,2,0)</f>
        <v/>
      </c>
      <c r="E33" s="26">
        <f>_xlfn.MAXIFS(Clausulas!$B$5:$B$46,Clausulas!$D$5:$D$46,Clausulas!$D33)</f>
        <v/>
      </c>
      <c r="F33">
        <f>IF(COUNTIF(Clausulas!$D$5:$D$46,D33)=2,"Si","No")</f>
        <v/>
      </c>
    </row>
    <row r="34">
      <c r="A34" t="inlineStr">
        <is>
          <t>Eric Curbelo</t>
        </is>
      </c>
      <c r="B34" s="27" t="n">
        <v>1050000</v>
      </c>
      <c r="C34" t="inlineStr">
        <is>
          <t>La Piñera</t>
        </is>
      </c>
      <c r="D34">
        <f>VLOOKUP(A34,Id_Jugadores!A$2:B$523,2,0)</f>
        <v/>
      </c>
      <c r="E34" s="26">
        <f>_xlfn.MAXIFS(Clausulas!$B$5:$B$46,Clausulas!$D$5:$D$46,Clausulas!$D34)</f>
        <v/>
      </c>
      <c r="F34">
        <f>IF(COUNTIF(Clausulas!$D$5:$D$46,D34)=2,"Si","No")</f>
        <v/>
      </c>
    </row>
    <row r="35">
      <c r="A35" t="inlineStr">
        <is>
          <t>Iker Kortajarena</t>
        </is>
      </c>
      <c r="B35" s="18" t="n">
        <v>4401000</v>
      </c>
      <c r="C35" t="inlineStr">
        <is>
          <t>La Piñera</t>
        </is>
      </c>
      <c r="D35">
        <f>VLOOKUP(A35,Id_Jugadores!A$2:B$523,2,0)</f>
        <v/>
      </c>
      <c r="E35" s="26">
        <f>_xlfn.MAXIFS(Clausulas!$B$5:$B$46,Clausulas!$D$5:$D$46,Clausulas!$D35)</f>
        <v/>
      </c>
      <c r="F35">
        <f>IF(COUNTIF(Clausulas!$D$5:$D$46,D35)=2,"Si","No")</f>
        <v/>
      </c>
    </row>
    <row r="36">
      <c r="A36" s="28" t="inlineStr">
        <is>
          <t>Brian Cipenga</t>
        </is>
      </c>
      <c r="B36" s="26" t="n">
        <v>1160000</v>
      </c>
      <c r="C36" t="inlineStr">
        <is>
          <t>Llaule</t>
        </is>
      </c>
      <c r="D36">
        <f>VLOOKUP(A36,Id_Jugadores!A$2:B$523,2,0)</f>
        <v/>
      </c>
      <c r="E36" s="26">
        <f>_xlfn.MAXIFS(Clausulas!$B$5:$B$46,Clausulas!$D$5:$D$46,Clausulas!$D36)</f>
        <v/>
      </c>
      <c r="F36">
        <f>IF(COUNTIF(Clausulas!$D$5:$D$46,D36)=2,"Si","No")</f>
        <v/>
      </c>
    </row>
    <row r="37">
      <c r="A37" s="28" t="inlineStr">
        <is>
          <t>Ekain Díaz</t>
        </is>
      </c>
      <c r="B37" s="26" t="n">
        <v>190000</v>
      </c>
      <c r="C37" t="inlineStr">
        <is>
          <t>Llaule</t>
        </is>
      </c>
      <c r="D37">
        <f>VLOOKUP(A37,Id_Jugadores!A$2:B$523,2,0)</f>
        <v/>
      </c>
      <c r="E37" s="26">
        <f>_xlfn.MAXIFS(Clausulas!$B$5:$B$46,Clausulas!$D$5:$D$46,Clausulas!$D37)</f>
        <v/>
      </c>
      <c r="F37">
        <f>IF(COUNTIF(Clausulas!$D$5:$D$46,D37)=2,"Si","No")</f>
        <v/>
      </c>
    </row>
    <row r="38">
      <c r="A38" s="28" t="inlineStr">
        <is>
          <t>Moussa Diakité</t>
        </is>
      </c>
      <c r="B38" s="26" t="n">
        <v>2860000</v>
      </c>
      <c r="C38" t="inlineStr">
        <is>
          <t>Llaule</t>
        </is>
      </c>
      <c r="D38">
        <f>VLOOKUP(A38,Id_Jugadores!A$2:B$523,2,0)</f>
        <v/>
      </c>
      <c r="E38" s="26">
        <f>_xlfn.MAXIFS(Clausulas!$B$5:$B$46,Clausulas!$D$5:$D$46,Clausulas!$D38)</f>
        <v/>
      </c>
      <c r="F38">
        <f>IF(COUNTIF(Clausulas!$D$5:$D$46,D38)=2,"Si","No")</f>
        <v/>
      </c>
    </row>
    <row r="39">
      <c r="A39" s="28" t="inlineStr">
        <is>
          <t>Áron Yaakobishvili</t>
        </is>
      </c>
      <c r="B39" s="26" t="n">
        <v>2000000</v>
      </c>
      <c r="C39" t="inlineStr">
        <is>
          <t>Llaule</t>
        </is>
      </c>
      <c r="D39">
        <f>VLOOKUP(A39,Id_Jugadores!A$2:B$523,2,0)</f>
        <v/>
      </c>
      <c r="E39" s="26">
        <f>_xlfn.MAXIFS(Clausulas!$B$5:$B$46,Clausulas!$D$5:$D$46,Clausulas!$D39)</f>
        <v/>
      </c>
      <c r="F39">
        <f>IF(COUNTIF(Clausulas!$D$5:$D$46,D39)=2,"Si","No")</f>
        <v/>
      </c>
    </row>
    <row r="40">
      <c r="A40" s="28" t="inlineStr">
        <is>
          <t>Bicho</t>
        </is>
      </c>
      <c r="B40" s="26" t="n">
        <v>1200000</v>
      </c>
      <c r="C40" t="inlineStr">
        <is>
          <t>Llaule</t>
        </is>
      </c>
      <c r="D40">
        <f>VLOOKUP(A40,Id_Jugadores!A$2:B$523,2,0)</f>
        <v/>
      </c>
      <c r="E40" s="26">
        <f>_xlfn.MAXIFS(Clausulas!$B$5:$B$46,Clausulas!$D$5:$D$46,Clausulas!$D40)</f>
        <v/>
      </c>
      <c r="F40">
        <f>IF(COUNTIF(Clausulas!$D$5:$D$46,D40)=2,"Si","No")</f>
        <v/>
      </c>
    </row>
    <row r="41">
      <c r="A41" s="28" t="inlineStr">
        <is>
          <t>Mika Mármol</t>
        </is>
      </c>
      <c r="B41" s="26" t="n">
        <v>4160000</v>
      </c>
      <c r="C41" t="inlineStr">
        <is>
          <t>Llaule</t>
        </is>
      </c>
      <c r="D41">
        <f>VLOOKUP(A41,Id_Jugadores!A$2:B$523,2,0)</f>
        <v/>
      </c>
      <c r="E41" s="26">
        <f>_xlfn.MAXIFS(Clausulas!$B$5:$B$46,Clausulas!$D$5:$D$46,Clausulas!$D41)</f>
        <v/>
      </c>
      <c r="F41">
        <f>IF(COUNTIF(Clausulas!$D$5:$D$46,D41)=2,"Si","No")</f>
        <v/>
      </c>
    </row>
    <row r="42">
      <c r="A42" s="28" t="inlineStr">
        <is>
          <t>Mario Jimenez</t>
        </is>
      </c>
      <c r="B42" s="26" t="n">
        <v>250000</v>
      </c>
      <c r="C42" t="inlineStr">
        <is>
          <t>Llaule</t>
        </is>
      </c>
      <c r="D42" t="inlineStr">
        <is>
          <t>Fuera de la Liga</t>
        </is>
      </c>
      <c r="E42" s="26">
        <f>_xlfn.MAXIFS(Clausulas!$B$5:$B$46,Clausulas!$D$5:$D$46,Clausulas!$D42)</f>
        <v/>
      </c>
      <c r="F42">
        <f>IF(COUNTIF(Clausulas!$D$5:$D$46,D42)=2,"Si","No")</f>
        <v/>
      </c>
    </row>
    <row r="43">
      <c r="A43" s="28" t="inlineStr">
        <is>
          <t>David Torres</t>
        </is>
      </c>
      <c r="B43" s="26" t="n">
        <v>1560000</v>
      </c>
      <c r="C43" t="inlineStr">
        <is>
          <t>Llaule</t>
        </is>
      </c>
      <c r="D43">
        <f>VLOOKUP(A43,Id_Jugadores!A$2:B$523,2,0)</f>
        <v/>
      </c>
      <c r="E43" s="26">
        <f>_xlfn.MAXIFS(Clausulas!$B$5:$B$46,Clausulas!$D$5:$D$46,Clausulas!$D43)</f>
        <v/>
      </c>
      <c r="F43">
        <f>IF(COUNTIF(Clausulas!$D$5:$D$46,D43)=2,"Si","No")</f>
        <v/>
      </c>
    </row>
    <row r="44">
      <c r="A44" t="inlineStr">
        <is>
          <t>Riki Rodríguez</t>
        </is>
      </c>
      <c r="B44" s="26" t="n">
        <v>3840000</v>
      </c>
      <c r="C44" t="inlineStr">
        <is>
          <t>Llaule</t>
        </is>
      </c>
      <c r="D44">
        <f>VLOOKUP(A44,Id_Jugadores!A$2:B$523,2,0)</f>
        <v/>
      </c>
      <c r="E44" s="26">
        <f>_xlfn.MAXIFS(Clausulas!$B$5:$B$46,Clausulas!$D$5:$D$46,Clausulas!$D44)</f>
        <v/>
      </c>
      <c r="F44">
        <f>IF(COUNTIF(Clausulas!$D$5:$D$46,D44)=2,"Si","No")</f>
        <v/>
      </c>
    </row>
    <row r="45">
      <c r="A45" s="28" t="inlineStr">
        <is>
          <t>Juan Pérez</t>
        </is>
      </c>
      <c r="B45" s="26" t="n">
        <v>400000</v>
      </c>
      <c r="C45" t="inlineStr">
        <is>
          <t>Llaule</t>
        </is>
      </c>
      <c r="D45">
        <f>VLOOKUP(A45,Id_Jugadores!A$2:B$523,2,0)</f>
        <v/>
      </c>
      <c r="E45" s="26">
        <f>_xlfn.MAXIFS(Clausulas!$B$5:$B$46,Clausulas!$D$5:$D$46,Clausulas!$D45)</f>
        <v/>
      </c>
      <c r="F45">
        <f>IF(COUNTIF(Clausulas!$D$5:$D$46,D45)=2,"Si","No")</f>
        <v/>
      </c>
    </row>
    <row r="46">
      <c r="A46" s="28" t="inlineStr">
        <is>
          <t>Íñigo Sainz-Maza</t>
        </is>
      </c>
      <c r="B46" s="26" t="n">
        <v>2160000</v>
      </c>
      <c r="C46" t="inlineStr">
        <is>
          <t>Llaule</t>
        </is>
      </c>
      <c r="D46">
        <f>VLOOKUP(A46,Id_Jugadores!A$2:B$523,2,0)</f>
        <v/>
      </c>
      <c r="E46" s="26">
        <f>_xlfn.MAXIFS(Clausulas!$B$5:$B$46,Clausulas!$D$5:$D$46,Clausulas!$D46)</f>
        <v/>
      </c>
      <c r="F46">
        <f>IF(COUNTIF(Clausulas!$D$5:$D$46,D46)=2,"Si","No")</f>
        <v/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2025-08-22T12:41:32Z</dcterms:created>
  <dcterms:modified xmlns:dcterms="http://purl.org/dc/terms/" xmlns:xsi="http://www.w3.org/2001/XMLSchema-instance" xsi:type="dcterms:W3CDTF">2025-10-06T18:40:51Z</dcterms:modified>
  <cp:lastModifiedBy>AGÜERO ENCINAS, JULIO</cp:lastModifiedBy>
  <cp:revision>2</cp:revision>
</cp:coreProperties>
</file>